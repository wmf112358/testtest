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SMART演习资料\①バッチACP(MAET86S1)\成果物\MAET86S1\02.テスト仕様書・テスト結果\最新成果物\"/>
    </mc:Choice>
  </mc:AlternateContent>
  <xr:revisionPtr revIDLastSave="0" documentId="13_ncr:1_{1B41EC6D-F975-45ED-8939-FA5AB6DD2087}" xr6:coauthVersionLast="47" xr6:coauthVersionMax="47" xr10:uidLastSave="{00000000-0000-0000-0000-000000000000}"/>
  <bookViews>
    <workbookView xWindow="-120" yWindow="-120" windowWidth="29040" windowHeight="15840" tabRatio="928" activeTab="4" xr2:uid="{00000000-000D-0000-FFFF-FFFF00000000}"/>
  </bookViews>
  <sheets>
    <sheet name="表紙" sheetId="1" r:id="rId1"/>
    <sheet name="改定履歴" sheetId="2" r:id="rId2"/>
    <sheet name="目次" sheetId="4" r:id="rId3"/>
    <sheet name="改定内容" sheetId="3" r:id="rId4"/>
    <sheet name="ツール画面" sheetId="288" r:id="rId5"/>
    <sheet name="前提" sheetId="5" r:id="rId6"/>
    <sheet name="ＩＴａ１一覧表" sheetId="6" r:id="rId7"/>
    <sheet name="ＩＴａ１詳細表（005）" sheetId="286" r:id="rId8"/>
    <sheet name="入力データ設計・出力結果予想" sheetId="287" r:id="rId9"/>
    <sheet name="ＩＴａ実施チェックリスト" sheetId="24" r:id="rId10"/>
    <sheet name="ＩＴａ1未実施テスト一覧" sheetId="25" r:id="rId11"/>
    <sheet name="裏表紙" sheetId="26" r:id="rId12"/>
  </sheets>
  <externalReferences>
    <externalReference r:id="rId13"/>
    <externalReference r:id="rId14"/>
    <externalReference r:id="rId15"/>
    <externalReference r:id="rId16"/>
  </externalReferences>
  <definedNames>
    <definedName name="_Regression_X" localSheetId="7" hidden="1">#REF!</definedName>
    <definedName name="_Regression_X" localSheetId="8" hidden="1">#REF!</definedName>
    <definedName name="_Regression_X" hidden="1">#REF!</definedName>
    <definedName name="a" localSheetId="7">#REF!</definedName>
    <definedName name="a" localSheetId="8">#REF!</definedName>
    <definedName name="a">#REF!</definedName>
    <definedName name="AAA" localSheetId="7">#REF!</definedName>
    <definedName name="AAA" localSheetId="8">#REF!</definedName>
    <definedName name="AAA">#REF!</definedName>
    <definedName name="AAAA" localSheetId="7">#REF!</definedName>
    <definedName name="AAAA" localSheetId="8">#REF!</definedName>
    <definedName name="AAAA">#REF!</definedName>
    <definedName name="AAAAAA" localSheetId="7">#REF!</definedName>
    <definedName name="AAAAAA" localSheetId="8">#REF!</definedName>
    <definedName name="AAAAAA">#REF!</definedName>
    <definedName name="aplcode" localSheetId="7">#REF!</definedName>
    <definedName name="aplcode" localSheetId="8">#REF!</definedName>
    <definedName name="aplcode">#REF!</definedName>
    <definedName name="aplname" localSheetId="7">#REF!</definedName>
    <definedName name="aplname" localSheetId="8">#REF!</definedName>
    <definedName name="aplname">#REF!</definedName>
    <definedName name="b" localSheetId="7">#REF!</definedName>
    <definedName name="b" localSheetId="8">#REF!</definedName>
    <definedName name="b">#REF!</definedName>
    <definedName name="Command_Click" localSheetId="7">[1]!Command_Click</definedName>
    <definedName name="Command_Click">[1]!Command_Click</definedName>
    <definedName name="d" localSheetId="7">#REF!</definedName>
    <definedName name="d" localSheetId="8">#REF!</definedName>
    <definedName name="d">#REF!</definedName>
    <definedName name="_xlnm.Database" localSheetId="7">[2]PR!#REF!</definedName>
    <definedName name="_xlnm.Database" localSheetId="8">[2]PR!#REF!</definedName>
    <definedName name="_xlnm.Database">[2]PR!#REF!</definedName>
    <definedName name="E" localSheetId="7" hidden="1">#REF!</definedName>
    <definedName name="E" hidden="1">#REF!</definedName>
    <definedName name="h" localSheetId="7">#REF!</definedName>
    <definedName name="h" localSheetId="8">#REF!</definedName>
    <definedName name="h">#REF!</definedName>
    <definedName name="l" localSheetId="7">#REF!</definedName>
    <definedName name="l" localSheetId="8">#REF!</definedName>
    <definedName name="l">#REF!</definedName>
    <definedName name="o" localSheetId="7">#REF!</definedName>
    <definedName name="o" localSheetId="8">#REF!</definedName>
    <definedName name="o">#REF!</definedName>
    <definedName name="p" localSheetId="7">#REF!</definedName>
    <definedName name="p" localSheetId="8">#REF!</definedName>
    <definedName name="p">#REF!</definedName>
    <definedName name="_xlnm.Print_Area" localSheetId="6">ＩＴａ１一覧表!$A$1:$BA$21</definedName>
    <definedName name="_xlnm.Print_Area" localSheetId="7">'ＩＴａ１詳細表（005）'!$A$1:$BB$17</definedName>
    <definedName name="_xlnm.Print_Area" localSheetId="10">ＩＴａ1未実施テスト一覧!$A$1:$AZ$28</definedName>
    <definedName name="_xlnm.Print_Area" localSheetId="3">改定内容!$A$1:$AZ$36</definedName>
    <definedName name="_xlnm.Print_Area" localSheetId="5">前提!$A$1:$AZ$36</definedName>
    <definedName name="_xlnm.Print_Area" localSheetId="8">入力データ設計・出力結果予想!$A$1:$AH$63</definedName>
    <definedName name="_xlnm.Print_Area" localSheetId="0">表紙!$A$1:$M$33</definedName>
    <definedName name="_xlnm.Print_Area" localSheetId="2">目次!$A$1:$AZ$28</definedName>
    <definedName name="_xlnm.Print_Titles" localSheetId="6">ＩＴａ１一覧表!$1:$4</definedName>
    <definedName name="_xlnm.Print_Titles" localSheetId="7">'ＩＴａ１詳細表（005）'!$1:$4</definedName>
    <definedName name="_xlnm.Print_Titles" localSheetId="10">ＩＴａ1未実施テスト一覧!$1:$4</definedName>
    <definedName name="_xlnm.Print_Titles" localSheetId="5">前提!$1:$4</definedName>
    <definedName name="_xlnm.Print_Titles" localSheetId="8">入力データ設計・出力結果予想!$1:$4</definedName>
    <definedName name="_xlnm.Print_Titles" localSheetId="2">目次!$1:$4</definedName>
    <definedName name="Q" localSheetId="7" hidden="1">#REF!</definedName>
    <definedName name="Q" hidden="1">#REF!</definedName>
    <definedName name="qqq" localSheetId="7">#REF!</definedName>
    <definedName name="qqq" localSheetId="8">#REF!</definedName>
    <definedName name="qqq">#REF!</definedName>
    <definedName name="t" localSheetId="7">#REF!</definedName>
    <definedName name="t" localSheetId="8">#REF!</definedName>
    <definedName name="t">#REF!</definedName>
    <definedName name="xxxx" localSheetId="7">#REF!</definedName>
    <definedName name="xxxx" localSheetId="8">#REF!</definedName>
    <definedName name="xxxx">#REF!</definedName>
    <definedName name="ＹＨＫＨＫ">[3]入力補助リスト!$D$2:$D$4</definedName>
    <definedName name="z" localSheetId="7">#REF!</definedName>
    <definedName name="z" localSheetId="8">#REF!</definedName>
    <definedName name="z">#REF!</definedName>
    <definedName name="Z_8E288406_DA20_4489_A100_6BF008027C94_.wvu.Cols" localSheetId="9" hidden="1">ＩＴａ実施チェックリスト!$A:$A</definedName>
    <definedName name="Z_8E288406_DA20_4489_A100_6BF008027C94_.wvu.PrintArea" localSheetId="6" hidden="1">ＩＴａ１一覧表!$A$1:$AZ$16</definedName>
    <definedName name="Z_8E288406_DA20_4489_A100_6BF008027C94_.wvu.PrintArea" localSheetId="10" hidden="1">ＩＴａ1未実施テスト一覧!$A$1:$AZ$28</definedName>
    <definedName name="Z_8E288406_DA20_4489_A100_6BF008027C94_.wvu.PrintArea" localSheetId="3" hidden="1">改定内容!$A$1:$AZ$36</definedName>
    <definedName name="Z_8E288406_DA20_4489_A100_6BF008027C94_.wvu.PrintArea" localSheetId="5" hidden="1">前提!$A$1:$AZ$36</definedName>
    <definedName name="Z_8E288406_DA20_4489_A100_6BF008027C94_.wvu.PrintArea" localSheetId="0" hidden="1">表紙!$A$1:$M$33</definedName>
    <definedName name="Z_8E288406_DA20_4489_A100_6BF008027C94_.wvu.PrintArea" localSheetId="2" hidden="1">目次!$A$1:$AZ$28</definedName>
    <definedName name="Z_8E288406_DA20_4489_A100_6BF008027C94_.wvu.PrintTitles" localSheetId="6" hidden="1">ＩＴａ１一覧表!$1:$4</definedName>
    <definedName name="Z_8E288406_DA20_4489_A100_6BF008027C94_.wvu.PrintTitles" localSheetId="10" hidden="1">ＩＴａ1未実施テスト一覧!$1:$4</definedName>
    <definedName name="Z_8E288406_DA20_4489_A100_6BF008027C94_.wvu.PrintTitles" localSheetId="5" hidden="1">前提!$1:$4</definedName>
    <definedName name="Z_8E288406_DA20_4489_A100_6BF008027C94_.wvu.PrintTitles" localSheetId="2" hidden="1">目次!$1:$4</definedName>
    <definedName name="Z_A6ABB528_5CA4_4D4C_8A92_065340906B37_.wvu.Cols" localSheetId="9" hidden="1">ＩＴａ実施チェックリスト!$A:$A</definedName>
    <definedName name="Z_A6ABB528_5CA4_4D4C_8A92_065340906B37_.wvu.PrintArea" localSheetId="6" hidden="1">ＩＴａ１一覧表!$A$1:$AZ$16</definedName>
    <definedName name="Z_A6ABB528_5CA4_4D4C_8A92_065340906B37_.wvu.PrintArea" localSheetId="10" hidden="1">ＩＴａ1未実施テスト一覧!$A$1:$AZ$28</definedName>
    <definedName name="Z_A6ABB528_5CA4_4D4C_8A92_065340906B37_.wvu.PrintArea" localSheetId="3" hidden="1">改定内容!$A$1:$AZ$36</definedName>
    <definedName name="Z_A6ABB528_5CA4_4D4C_8A92_065340906B37_.wvu.PrintArea" localSheetId="5" hidden="1">前提!$A$1:$AZ$36</definedName>
    <definedName name="Z_A6ABB528_5CA4_4D4C_8A92_065340906B37_.wvu.PrintArea" localSheetId="0" hidden="1">表紙!$A$1:$M$33</definedName>
    <definedName name="Z_A6ABB528_5CA4_4D4C_8A92_065340906B37_.wvu.PrintArea" localSheetId="2" hidden="1">目次!$A$1:$AZ$28</definedName>
    <definedName name="Z_A6ABB528_5CA4_4D4C_8A92_065340906B37_.wvu.PrintTitles" localSheetId="6" hidden="1">ＩＴａ１一覧表!$1:$4</definedName>
    <definedName name="Z_A6ABB528_5CA4_4D4C_8A92_065340906B37_.wvu.PrintTitles" localSheetId="10" hidden="1">ＩＴａ1未実施テスト一覧!$1:$4</definedName>
    <definedName name="Z_A6ABB528_5CA4_4D4C_8A92_065340906B37_.wvu.PrintTitles" localSheetId="5" hidden="1">前提!$1:$4</definedName>
    <definedName name="Z_A6ABB528_5CA4_4D4C_8A92_065340906B37_.wvu.PrintTitles" localSheetId="2" hidden="1">目次!$1:$4</definedName>
    <definedName name="あ" localSheetId="7">#REF!</definedName>
    <definedName name="あ" localSheetId="8">#REF!</definedName>
    <definedName name="あ">#REF!</definedName>
    <definedName name="クエリー1" localSheetId="7">#REF!</definedName>
    <definedName name="クエリー1" localSheetId="8">#REF!</definedName>
    <definedName name="クエリー1">#REF!</definedName>
    <definedName name="こ" localSheetId="7">#REF!</definedName>
    <definedName name="こ" localSheetId="8">#REF!</definedName>
    <definedName name="こ">#REF!</definedName>
    <definedName name="サンプル" localSheetId="7" hidden="1">#REF!</definedName>
    <definedName name="サンプル" localSheetId="8" hidden="1">#REF!</definedName>
    <definedName name="サンプル" hidden="1">#REF!</definedName>
    <definedName name="タスクドキュメント１" localSheetId="7" hidden="1">#REF!</definedName>
    <definedName name="タスクドキュメント１" localSheetId="8" hidden="1">#REF!</definedName>
    <definedName name="タスクドキュメント１" hidden="1">#REF!</definedName>
    <definedName name="ﾌｫｰﾑ" localSheetId="7">#REF!</definedName>
    <definedName name="ﾌｫｰﾑ" localSheetId="8">#REF!</definedName>
    <definedName name="ﾌｫｰﾑ">#REF!</definedName>
    <definedName name="ﾌﾟﾛｸﾞﾗﾑｺｰﾄﾞ" localSheetId="7">#REF!</definedName>
    <definedName name="ﾌﾟﾛｸﾞﾗﾑｺｰﾄﾞ" localSheetId="9">ＩＴａ実施チェックリスト!#REF!</definedName>
    <definedName name="ﾌﾟﾛｸﾞﾗﾑｺｰﾄﾞ" localSheetId="8">#REF!</definedName>
    <definedName name="ﾌﾟﾛｸﾞﾗﾑｺｰﾄﾞ">#REF!</definedName>
    <definedName name="関連表" localSheetId="7" hidden="1">#REF!</definedName>
    <definedName name="関連表" localSheetId="8" hidden="1">#REF!</definedName>
    <definedName name="関連表" hidden="1">#REF!</definedName>
    <definedName name="業務名" localSheetId="7">#REF!</definedName>
    <definedName name="業務名" localSheetId="9">ＩＴａ実施チェックリスト!#REF!</definedName>
    <definedName name="業務名" localSheetId="8">#REF!</definedName>
    <definedName name="業務名">#REF!</definedName>
    <definedName name="顧客名" localSheetId="7">#REF!</definedName>
    <definedName name="顧客名" localSheetId="9">ＩＴａ実施チェックリスト!#REF!</definedName>
    <definedName name="顧客名" localSheetId="8">#REF!</definedName>
    <definedName name="顧客名">#REF!</definedName>
    <definedName name="所属" localSheetId="7">#REF!</definedName>
    <definedName name="所属" localSheetId="9">ＩＴａ実施チェックリスト!#REF!</definedName>
    <definedName name="所属" localSheetId="8">#REF!</definedName>
    <definedName name="所属">#REF!</definedName>
    <definedName name="新郵便番号対応" localSheetId="7">#REF!</definedName>
    <definedName name="新郵便番号対応" localSheetId="9">ＩＴａ実施チェックリスト!#REF!</definedName>
    <definedName name="新郵便番号対応" localSheetId="8">#REF!</definedName>
    <definedName name="新郵便番号対応">#REF!</definedName>
    <definedName name="数値書式" localSheetId="7">#REF!</definedName>
    <definedName name="数値書式">#REF!</definedName>
    <definedName name="数値書式カンマ" localSheetId="7">#REF!</definedName>
    <definedName name="数値書式カンマ">#REF!</definedName>
    <definedName name="数値書式符号" localSheetId="7">#REF!</definedName>
    <definedName name="数値書式符号">#REF!</definedName>
    <definedName name="大和證券" localSheetId="7">#REF!</definedName>
    <definedName name="大和證券" localSheetId="9">ＩＴａ実施チェックリスト!#REF!</definedName>
    <definedName name="大和證券" localSheetId="8">#REF!</definedName>
    <definedName name="大和證券">#REF!</definedName>
    <definedName name="表示書式" localSheetId="7">#REF!</definedName>
    <definedName name="表示書式">#REF!</definedName>
    <definedName name="表示属性" localSheetId="7">#REF!</definedName>
    <definedName name="表示属性">#REF!</definedName>
    <definedName name="符号" localSheetId="7">#REF!</definedName>
    <definedName name="符号">#REF!</definedName>
    <definedName name="符号２" localSheetId="7">#REF!</definedName>
    <definedName name="符号２">#REF!</definedName>
  </definedNames>
  <calcPr calcId="191029"/>
  <customWorkbookViews>
    <customWorkbookView name="王謙華 - 個人用ビュー" guid="{A6ABB528-5CA4-4D4C-8A92-065340906B37}" mergeInterval="0" personalView="1" maximized="1" windowWidth="1020" windowHeight="527" tabRatio="943" activeSheetId="22"/>
    <customWorkbookView name="（株）大和総研 - 個人用ビュー" guid="{8E288406-DA20-4489-A100-6BF008027C94}" mergeInterval="0" personalView="1" maximized="1" windowWidth="1276" windowHeight="746" tabRatio="943" activeSheetId="1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" i="286" l="1"/>
  <c r="AW1" i="286"/>
  <c r="AW2" i="2"/>
  <c r="AW1" i="2"/>
  <c r="AI4" i="6" l="1"/>
  <c r="F4" i="287" l="1"/>
  <c r="F4" i="286"/>
  <c r="A4" i="287" l="1"/>
  <c r="T2" i="287"/>
  <c r="Q2" i="287"/>
  <c r="P2" i="287"/>
  <c r="N2" i="287"/>
  <c r="M2" i="287"/>
  <c r="I2" i="287"/>
  <c r="T1" i="287"/>
  <c r="Q1" i="287"/>
  <c r="P1" i="287"/>
  <c r="M1" i="287"/>
  <c r="A4" i="286" l="1"/>
  <c r="AQ2" i="286"/>
  <c r="AL2" i="286"/>
  <c r="AD2" i="286"/>
  <c r="Y2" i="286"/>
  <c r="Q2" i="286"/>
  <c r="AQ1" i="286"/>
  <c r="AL1" i="286"/>
  <c r="Y1" i="286"/>
  <c r="Y1" i="2" l="1"/>
  <c r="Y2" i="2"/>
  <c r="AO4" i="6" l="1"/>
  <c r="AQ1" i="6"/>
  <c r="AL1" i="6"/>
  <c r="AQ1" i="5"/>
  <c r="AL1" i="5"/>
  <c r="AW1" i="25"/>
  <c r="AQ1" i="25"/>
  <c r="AL1" i="25"/>
  <c r="AW1" i="5" l="1"/>
  <c r="AW1" i="3"/>
  <c r="AW2" i="3"/>
  <c r="AL1" i="2" l="1"/>
  <c r="AL2" i="2"/>
  <c r="AW1" i="6"/>
  <c r="AC4" i="6"/>
  <c r="Y1" i="25"/>
  <c r="Q2" i="25"/>
  <c r="AD2" i="25"/>
  <c r="AL2" i="25"/>
  <c r="AQ2" i="25"/>
  <c r="AW2" i="25"/>
  <c r="A4" i="25"/>
  <c r="F4" i="25"/>
  <c r="A11" i="25"/>
  <c r="F11" i="25"/>
  <c r="B3" i="24"/>
  <c r="D3" i="24"/>
  <c r="Y1" i="6"/>
  <c r="Q2" i="6"/>
  <c r="AD2" i="6"/>
  <c r="AL2" i="6"/>
  <c r="AQ2" i="6"/>
  <c r="AW2" i="6"/>
  <c r="A4" i="6"/>
  <c r="F4" i="6"/>
  <c r="Y1" i="5"/>
  <c r="Q2" i="5"/>
  <c r="AD2" i="5"/>
  <c r="AL2" i="5"/>
  <c r="AQ2" i="5"/>
  <c r="AW2" i="5"/>
  <c r="A4" i="5"/>
  <c r="F4" i="5"/>
  <c r="Y1" i="3"/>
  <c r="AL1" i="3"/>
  <c r="AQ1" i="3"/>
  <c r="Q2" i="3"/>
  <c r="AD2" i="3"/>
  <c r="AL2" i="3"/>
  <c r="AQ2" i="3"/>
  <c r="AQ1" i="2"/>
  <c r="Q2" i="2"/>
  <c r="AD2" i="2"/>
  <c r="AQ2" i="2"/>
  <c r="Y2" i="5" l="1"/>
  <c r="Y2" i="3"/>
  <c r="Y2" i="25"/>
  <c r="Y2" i="6"/>
</calcChain>
</file>

<file path=xl/sharedStrings.xml><?xml version="1.0" encoding="utf-8"?>
<sst xmlns="http://schemas.openxmlformats.org/spreadsheetml/2006/main" count="515" uniqueCount="304">
  <si>
    <t>Y</t>
    <phoneticPr fontId="2"/>
  </si>
  <si>
    <t>目　次</t>
  </si>
  <si>
    <t xml:space="preserve"> </t>
  </si>
  <si>
    <t>ﾀｲﾄﾙ:</t>
  </si>
  <si>
    <t>Ver</t>
  </si>
  <si>
    <t>最終承認日</t>
  </si>
  <si>
    <t>最終更新者・会社略称</t>
  </si>
  <si>
    <t>最終更新日</t>
  </si>
  <si>
    <t>最終承認者・会社略称</t>
  </si>
  <si>
    <t>新規作成者・会社略称</t>
  </si>
  <si>
    <t>新規作成日</t>
  </si>
  <si>
    <t>テストケース内容</t>
  </si>
  <si>
    <t>件</t>
  </si>
  <si>
    <t>数</t>
  </si>
  <si>
    <t>ﾃｽﾄ終了
確認者</t>
    <rPh sb="3" eb="5">
      <t>シュウリョウ</t>
    </rPh>
    <phoneticPr fontId="2"/>
  </si>
  <si>
    <t>ﾃｽﾄ終了
承認日</t>
    <rPh sb="3" eb="5">
      <t>シュウリョウ</t>
    </rPh>
    <rPh sb="6" eb="8">
      <t>ショウニン</t>
    </rPh>
    <rPh sb="8" eb="9">
      <t>ビ</t>
    </rPh>
    <phoneticPr fontId="2"/>
  </si>
  <si>
    <t>１．前提</t>
  </si>
  <si>
    <t>Ｎｏ．</t>
  </si>
  <si>
    <t>成果物種類</t>
  </si>
  <si>
    <t>成果物番号</t>
  </si>
  <si>
    <t>Ｖｅｒ．</t>
  </si>
  <si>
    <t>成果物名称</t>
  </si>
  <si>
    <t>備考</t>
  </si>
  <si>
    <t>プロセスフロー</t>
  </si>
  <si>
    <t>業務要件定義書</t>
  </si>
  <si>
    <t>　</t>
  </si>
  <si>
    <t>画面設計書</t>
  </si>
  <si>
    <t>帳票設計書</t>
  </si>
  <si>
    <t>電文レイアウト</t>
  </si>
  <si>
    <t>ファイルレイアウト</t>
  </si>
  <si>
    <t>テストケースサブ番号（２桁）</t>
  </si>
  <si>
    <t>区分</t>
  </si>
  <si>
    <t>所属</t>
    <rPh sb="0" eb="2">
      <t>ショゾク</t>
    </rPh>
    <phoneticPr fontId="2"/>
  </si>
  <si>
    <t>担当者</t>
    <rPh sb="0" eb="3">
      <t>タントウシャ</t>
    </rPh>
    <phoneticPr fontId="2"/>
  </si>
  <si>
    <t>作成日・検証日</t>
    <rPh sb="0" eb="3">
      <t>サクセイビ</t>
    </rPh>
    <rPh sb="4" eb="6">
      <t>ケンショウ</t>
    </rPh>
    <rPh sb="6" eb="7">
      <t>ビ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</si>
  <si>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</si>
  <si>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</si>
  <si>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検証者</t>
    <rPh sb="0" eb="2">
      <t>ケンショウ</t>
    </rPh>
    <rPh sb="2" eb="3">
      <t>サクセイシャ</t>
    </rPh>
    <phoneticPr fontId="2"/>
  </si>
  <si>
    <t>項番</t>
    <rPh sb="0" eb="1">
      <t>コウ</t>
    </rPh>
    <rPh sb="1" eb="2">
      <t>バン</t>
    </rPh>
    <phoneticPr fontId="2"/>
  </si>
  <si>
    <t>テスト項目</t>
    <rPh sb="3" eb="5">
      <t>コウモク</t>
    </rPh>
    <phoneticPr fontId="2"/>
  </si>
  <si>
    <t>未実施理由または、進捗阻害要因</t>
    <rPh sb="0" eb="3">
      <t>ミジッシ</t>
    </rPh>
    <rPh sb="3" eb="5">
      <t>リユウ</t>
    </rPh>
    <rPh sb="9" eb="11">
      <t>シンチョク</t>
    </rPh>
    <rPh sb="11" eb="13">
      <t>ソガイ</t>
    </rPh>
    <rPh sb="13" eb="15">
      <t>ヨウイン</t>
    </rPh>
    <phoneticPr fontId="2"/>
  </si>
  <si>
    <t>チェック欄</t>
    <rPh sb="4" eb="5">
      <t>ラン</t>
    </rPh>
    <phoneticPr fontId="2"/>
  </si>
  <si>
    <t>所属</t>
  </si>
  <si>
    <t>担当者</t>
  </si>
  <si>
    <t>作成・検証日</t>
  </si>
  <si>
    <t>作成者</t>
  </si>
  <si>
    <t>検証者</t>
  </si>
  <si>
    <t>№</t>
  </si>
  <si>
    <t>レビュー時のポイント</t>
  </si>
  <si>
    <t>チェック欄</t>
  </si>
  <si>
    <t>G-00022</t>
  </si>
  <si>
    <t>共通</t>
  </si>
  <si>
    <t>テスト仕様書のテストケースは全て実施されたか？</t>
  </si>
  <si>
    <t>Ｎｏ□</t>
  </si>
  <si>
    <t>Ｎ/Ａ□</t>
  </si>
  <si>
    <t>未実施のテストケースがある場合は、実施可能時期が明確か？</t>
  </si>
  <si>
    <t>テスト実施結果のレビューは全て受けたか？</t>
  </si>
  <si>
    <t>テストケース件数は目標テスト件数以上か？</t>
  </si>
  <si>
    <t>オンライン・レスポンスは極端に遅くないか？</t>
  </si>
  <si>
    <t>最終承認日</t>
    <rPh sb="0" eb="2">
      <t>サイシュウ</t>
    </rPh>
    <rPh sb="2" eb="4">
      <t>ショウニン</t>
    </rPh>
    <rPh sb="4" eb="5">
      <t>ビ</t>
    </rPh>
    <phoneticPr fontId="2"/>
  </si>
  <si>
    <t>最終更新者・会社略称</t>
    <rPh sb="0" eb="2">
      <t>サイシュウ</t>
    </rPh>
    <rPh sb="2" eb="5">
      <t>コウシンシャ</t>
    </rPh>
    <rPh sb="6" eb="8">
      <t>カイシャ</t>
    </rPh>
    <rPh sb="8" eb="10">
      <t>リャクショウ</t>
    </rPh>
    <phoneticPr fontId="2"/>
  </si>
  <si>
    <t>最終更新日</t>
    <rPh sb="0" eb="2">
      <t>サイシュウ</t>
    </rPh>
    <rPh sb="2" eb="4">
      <t>コウシンヒ</t>
    </rPh>
    <rPh sb="4" eb="5">
      <t>ヒヅケ</t>
    </rPh>
    <phoneticPr fontId="2"/>
  </si>
  <si>
    <t>最終承認者・会社略称</t>
    <rPh sb="0" eb="2">
      <t>サイシュウ</t>
    </rPh>
    <rPh sb="2" eb="4">
      <t>ショウニン</t>
    </rPh>
    <rPh sb="4" eb="5">
      <t>シャ</t>
    </rPh>
    <rPh sb="6" eb="8">
      <t>カイシャ</t>
    </rPh>
    <rPh sb="8" eb="10">
      <t>リャクショウ</t>
    </rPh>
    <phoneticPr fontId="2"/>
  </si>
  <si>
    <t>新規作成者・会社略称</t>
    <rPh sb="0" eb="4">
      <t>シンキサクセイ</t>
    </rPh>
    <rPh sb="4" eb="5">
      <t>シャ</t>
    </rPh>
    <rPh sb="6" eb="8">
      <t>カイシャ</t>
    </rPh>
    <rPh sb="8" eb="10">
      <t>リャクショウ</t>
    </rPh>
    <phoneticPr fontId="2"/>
  </si>
  <si>
    <t>新規作成日</t>
    <rPh sb="0" eb="2">
      <t>シンキ</t>
    </rPh>
    <rPh sb="2" eb="4">
      <t>サクセイ</t>
    </rPh>
    <rPh sb="4" eb="5">
      <t>ヒヅケ</t>
    </rPh>
    <phoneticPr fontId="2"/>
  </si>
  <si>
    <t>改 訂 履 歴</t>
  </si>
  <si>
    <t>Ver.</t>
  </si>
  <si>
    <t>案件番号
案件名　</t>
  </si>
  <si>
    <t>改訂個所</t>
  </si>
  <si>
    <t>改訂年月日
(yyyy.mm.dd)</t>
  </si>
  <si>
    <t>会社略称
担当者</t>
  </si>
  <si>
    <t>備 考</t>
  </si>
  <si>
    <t>1.00</t>
  </si>
  <si>
    <t>　　　　　改 訂 内 容</t>
  </si>
  <si>
    <t>基本設計書</t>
    <rPh sb="0" eb="2">
      <t>キホン</t>
    </rPh>
    <rPh sb="2" eb="4">
      <t>セッケイ</t>
    </rPh>
    <phoneticPr fontId="2"/>
  </si>
  <si>
    <t>システムプロセス設計書</t>
    <rPh sb="8" eb="10">
      <t>セッケイ</t>
    </rPh>
    <rPh sb="10" eb="11">
      <t>ショ</t>
    </rPh>
    <phoneticPr fontId="2"/>
  </si>
  <si>
    <t>Yes</t>
    <phoneticPr fontId="2"/>
  </si>
  <si>
    <t>□</t>
    <phoneticPr fontId="2"/>
  </si>
  <si>
    <t>No</t>
    <phoneticPr fontId="2"/>
  </si>
  <si>
    <t>N/A</t>
    <phoneticPr fontId="2"/>
  </si>
  <si>
    <t>有</t>
    <rPh sb="0" eb="1">
      <t>アリ</t>
    </rPh>
    <phoneticPr fontId="2"/>
  </si>
  <si>
    <t>JNW</t>
    <phoneticPr fontId="2"/>
  </si>
  <si>
    <t>モジュールＩＤ：</t>
    <phoneticPr fontId="2"/>
  </si>
  <si>
    <t>モジュール名称：</t>
    <phoneticPr fontId="2"/>
  </si>
  <si>
    <t>ﾃｽﾄｹｰｽ
番号</t>
    <rPh sb="7" eb="9">
      <t>バンゴウ</t>
    </rPh>
    <phoneticPr fontId="2"/>
  </si>
  <si>
    <t>詳細表   有無</t>
    <rPh sb="0" eb="2">
      <t>ショウサイ</t>
    </rPh>
    <rPh sb="2" eb="3">
      <t>ヒョウ</t>
    </rPh>
    <rPh sb="6" eb="8">
      <t>ウム</t>
    </rPh>
    <phoneticPr fontId="2"/>
  </si>
  <si>
    <t>ﾃｽﾄ終了
承認者</t>
    <rPh sb="3" eb="5">
      <t>シュウリョウ</t>
    </rPh>
    <phoneticPr fontId="2"/>
  </si>
  <si>
    <t>ＩＴａ１仕様書（兼報告書）</t>
    <rPh sb="4" eb="6">
      <t>シヨウ</t>
    </rPh>
    <rPh sb="6" eb="7">
      <t>セッケイショ</t>
    </rPh>
    <rPh sb="8" eb="9">
      <t>ケン</t>
    </rPh>
    <rPh sb="9" eb="12">
      <t>ホウコクショ</t>
    </rPh>
    <phoneticPr fontId="2"/>
  </si>
  <si>
    <t>モジュールＩＤ</t>
    <phoneticPr fontId="2"/>
  </si>
  <si>
    <t>モジュール名称</t>
    <phoneticPr fontId="2"/>
  </si>
  <si>
    <t>モジュールＩＤ：</t>
    <phoneticPr fontId="2"/>
  </si>
  <si>
    <t>モジュール名称：</t>
    <phoneticPr fontId="2"/>
  </si>
  <si>
    <t>ＡＣＰコード</t>
    <phoneticPr fontId="2"/>
  </si>
  <si>
    <t>ＡＣＰ名称</t>
    <phoneticPr fontId="2"/>
  </si>
  <si>
    <t>モジュールＩＤ</t>
    <phoneticPr fontId="10"/>
  </si>
  <si>
    <t>モジュール名称</t>
    <phoneticPr fontId="10"/>
  </si>
  <si>
    <t>JNW</t>
    <phoneticPr fontId="10"/>
  </si>
  <si>
    <t>Ｙｅｓ■</t>
    <phoneticPr fontId="10"/>
  </si>
  <si>
    <t>Ｎ/Ａ■</t>
    <phoneticPr fontId="10"/>
  </si>
  <si>
    <t>02</t>
    <phoneticPr fontId="2"/>
  </si>
  <si>
    <t>ＩＴａ１仕様書（兼報告書）</t>
    <rPh sb="4" eb="6">
      <t>シヨウ</t>
    </rPh>
    <rPh sb="6" eb="7">
      <t>ショ</t>
    </rPh>
    <phoneticPr fontId="2"/>
  </si>
  <si>
    <t>ライン数</t>
    <phoneticPr fontId="2"/>
  </si>
  <si>
    <t>目標テストケース数</t>
    <rPh sb="0" eb="2">
      <t>モクヒョウ</t>
    </rPh>
    <phoneticPr fontId="2"/>
  </si>
  <si>
    <t>テストケース合計数</t>
    <phoneticPr fontId="2"/>
  </si>
  <si>
    <t>目標バグ検出件数</t>
    <rPh sb="0" eb="2">
      <t>モクヒョウ</t>
    </rPh>
    <rPh sb="4" eb="6">
      <t>ケンシュツ</t>
    </rPh>
    <rPh sb="6" eb="8">
      <t>ケンスウ</t>
    </rPh>
    <phoneticPr fontId="2"/>
  </si>
  <si>
    <t>バグ検出件数</t>
    <rPh sb="2" eb="4">
      <t>ケンシュツ</t>
    </rPh>
    <rPh sb="4" eb="6">
      <t>ケンスウ</t>
    </rPh>
    <phoneticPr fontId="2"/>
  </si>
  <si>
    <t>＜ＩＴａ１テストケース一覧表＞</t>
    <phoneticPr fontId="2"/>
  </si>
  <si>
    <t>ﾃｽﾄ開始予定日</t>
    <phoneticPr fontId="2"/>
  </si>
  <si>
    <t>ﾃｽﾄ終了予定日</t>
    <phoneticPr fontId="2"/>
  </si>
  <si>
    <t>ﾃｽﾄ終了日</t>
    <phoneticPr fontId="2"/>
  </si>
  <si>
    <t>ＩＴａ１仕様書（兼報告書）</t>
    <rPh sb="4" eb="6">
      <t>シヨウ</t>
    </rPh>
    <phoneticPr fontId="2"/>
  </si>
  <si>
    <t>本設計書は次の設計図書に基づき作成した。　</t>
    <rPh sb="1" eb="3">
      <t>セッケイ</t>
    </rPh>
    <phoneticPr fontId="2"/>
  </si>
  <si>
    <t>モジュール階層図</t>
    <rPh sb="5" eb="7">
      <t>カイソウ</t>
    </rPh>
    <rPh sb="7" eb="8">
      <t>ズ</t>
    </rPh>
    <phoneticPr fontId="2"/>
  </si>
  <si>
    <t>無し</t>
    <phoneticPr fontId="2"/>
  </si>
  <si>
    <t>無し</t>
    <phoneticPr fontId="2"/>
  </si>
  <si>
    <t>無し</t>
    <phoneticPr fontId="2"/>
  </si>
  <si>
    <t>論理データモデル</t>
    <rPh sb="0" eb="2">
      <t>ロンリ</t>
    </rPh>
    <phoneticPr fontId="2"/>
  </si>
  <si>
    <t>無し</t>
    <phoneticPr fontId="2"/>
  </si>
  <si>
    <t xml:space="preserve"> </t>
    <phoneticPr fontId="2"/>
  </si>
  <si>
    <t>ＩＴａ１仕様書（兼報告書）</t>
    <phoneticPr fontId="2"/>
  </si>
  <si>
    <t>２．ＩＴａ１一覧表</t>
    <phoneticPr fontId="2"/>
  </si>
  <si>
    <t>３．ＩＴａ１詳細表</t>
    <phoneticPr fontId="2"/>
  </si>
  <si>
    <t>ﾀｲﾄﾙ:</t>
    <phoneticPr fontId="2"/>
  </si>
  <si>
    <t>Ver</t>
    <phoneticPr fontId="2"/>
  </si>
  <si>
    <t>改 訂 内 容</t>
    <phoneticPr fontId="2"/>
  </si>
  <si>
    <t>新規作成</t>
    <phoneticPr fontId="2"/>
  </si>
  <si>
    <t>ﾀｲﾄﾙ:</t>
    <phoneticPr fontId="2"/>
  </si>
  <si>
    <t>JNW</t>
    <phoneticPr fontId="2"/>
  </si>
  <si>
    <t>DIR</t>
    <phoneticPr fontId="2"/>
  </si>
  <si>
    <t>JNW</t>
    <phoneticPr fontId="2"/>
  </si>
  <si>
    <t>最終承認日</t>
    <phoneticPr fontId="2"/>
  </si>
  <si>
    <t>ﾃｽﾄ開始日</t>
    <phoneticPr fontId="2"/>
  </si>
  <si>
    <t>新規作成</t>
    <phoneticPr fontId="2"/>
  </si>
  <si>
    <t>01</t>
    <phoneticPr fontId="2"/>
  </si>
  <si>
    <t>テストショット番号</t>
    <phoneticPr fontId="2"/>
  </si>
  <si>
    <t>ﾀｲﾄﾙ:</t>
    <phoneticPr fontId="2"/>
  </si>
  <si>
    <t>Ｙｅｓ□</t>
    <phoneticPr fontId="10"/>
  </si>
  <si>
    <t>無し</t>
  </si>
  <si>
    <t>条件</t>
    <phoneticPr fontId="2"/>
  </si>
  <si>
    <t>ＩＴａ１仕様書（兼報告書）</t>
    <phoneticPr fontId="2"/>
  </si>
  <si>
    <t>Ｎ/Ａ■</t>
    <phoneticPr fontId="10"/>
  </si>
  <si>
    <t>Ｎｏ□</t>
    <phoneticPr fontId="10"/>
  </si>
  <si>
    <t>JNW</t>
    <phoneticPr fontId="2"/>
  </si>
  <si>
    <t>JNW</t>
    <phoneticPr fontId="10"/>
  </si>
  <si>
    <t>未実施テストケースなし</t>
    <phoneticPr fontId="2"/>
  </si>
  <si>
    <t>001</t>
    <phoneticPr fontId="2"/>
  </si>
  <si>
    <t>Ｙｅｓ□</t>
    <phoneticPr fontId="10"/>
  </si>
  <si>
    <t>Ｎ/Ａ□</t>
    <phoneticPr fontId="10"/>
  </si>
  <si>
    <t>処理継続を確認。</t>
    <phoneticPr fontId="2"/>
  </si>
  <si>
    <t>福島　副部長</t>
    <phoneticPr fontId="2"/>
  </si>
  <si>
    <t>1.00</t>
    <phoneticPr fontId="2"/>
  </si>
  <si>
    <t>＜ＩＴａ１テストケース詳細表＞</t>
    <phoneticPr fontId="2"/>
  </si>
  <si>
    <t>正常終了</t>
    <rPh sb="0" eb="4">
      <t>セイジョウシュウリョウ</t>
    </rPh>
    <phoneticPr fontId="2"/>
  </si>
  <si>
    <t>異常終了</t>
    <rPh sb="0" eb="2">
      <t>イジョウ</t>
    </rPh>
    <rPh sb="2" eb="4">
      <t>シュウリョウ</t>
    </rPh>
    <phoneticPr fontId="2"/>
  </si>
  <si>
    <t>処理</t>
    <rPh sb="0" eb="2">
      <t>ショリ</t>
    </rPh>
    <phoneticPr fontId="2"/>
  </si>
  <si>
    <t>○</t>
    <phoneticPr fontId="2"/>
  </si>
  <si>
    <t>無</t>
    <rPh sb="0" eb="1">
      <t>ナシ</t>
    </rPh>
    <phoneticPr fontId="2"/>
  </si>
  <si>
    <t>002</t>
    <phoneticPr fontId="2"/>
  </si>
  <si>
    <t>003</t>
    <phoneticPr fontId="2"/>
  </si>
  <si>
    <t>共通＿ジョブログ出力機能(VQAP02)</t>
    <phoneticPr fontId="2"/>
  </si>
  <si>
    <t>004</t>
    <phoneticPr fontId="2"/>
  </si>
  <si>
    <t>＜入力データ設計・出力結果予想＞</t>
    <phoneticPr fontId="2"/>
  </si>
  <si>
    <t>テストケース
番号</t>
    <phoneticPr fontId="2"/>
  </si>
  <si>
    <t>入力データ設計</t>
    <phoneticPr fontId="2"/>
  </si>
  <si>
    <t>出力結果予想</t>
    <phoneticPr fontId="2"/>
  </si>
  <si>
    <t>件数表示</t>
    <rPh sb="0" eb="2">
      <t>ケンスウ</t>
    </rPh>
    <phoneticPr fontId="2"/>
  </si>
  <si>
    <t>検証資料</t>
    <phoneticPr fontId="2"/>
  </si>
  <si>
    <t>チェック日</t>
    <phoneticPr fontId="2"/>
  </si>
  <si>
    <t>0件</t>
    <rPh sb="1" eb="2">
      <t>ケン</t>
    </rPh>
    <phoneticPr fontId="2"/>
  </si>
  <si>
    <t>004-1</t>
    <phoneticPr fontId="2"/>
  </si>
  <si>
    <t>その他項目</t>
    <rPh sb="2" eb="5">
      <t>タコウモク</t>
    </rPh>
    <phoneticPr fontId="2"/>
  </si>
  <si>
    <t>あり</t>
    <phoneticPr fontId="2"/>
  </si>
  <si>
    <t>ＡＣＰ同一人識別番号付加処理</t>
    <phoneticPr fontId="2"/>
  </si>
  <si>
    <t>MAET86S1</t>
    <phoneticPr fontId="2"/>
  </si>
  <si>
    <t>徐</t>
    <rPh sb="0" eb="1">
      <t>ジョ</t>
    </rPh>
    <phoneticPr fontId="2"/>
  </si>
  <si>
    <t>徐</t>
    <rPh sb="0" eb="1">
      <t>ジョ</t>
    </rPh>
    <phoneticPr fontId="2"/>
  </si>
  <si>
    <t>同一人口座のマイナンバー同期更新の見直し</t>
    <phoneticPr fontId="2"/>
  </si>
  <si>
    <t>R17-0127-00</t>
    <phoneticPr fontId="2"/>
  </si>
  <si>
    <t>MAET8600ＡＣＰ同一人識別番号付加処理(システムプロセス設計書).xlsx</t>
    <phoneticPr fontId="2"/>
  </si>
  <si>
    <t>HAEW21RとHAEW24Rの入力件数が0件以外の場合、
MAET86S1が正常終了、HAEW25W に出力結果が正しく反映されていることを確認する。</t>
    <rPh sb="23" eb="25">
      <t>イガイ</t>
    </rPh>
    <phoneticPr fontId="2"/>
  </si>
  <si>
    <t>共通＿ジョブログ出力機能(VQAP02)を行い、処理結果コードが異常の場合、MAET86S1が異常終了し、エラーメッセージが正しく編集されていることを確認する。</t>
    <rPh sb="21" eb="22">
      <t>オコナ</t>
    </rPh>
    <phoneticPr fontId="2"/>
  </si>
  <si>
    <t>005</t>
    <phoneticPr fontId="2"/>
  </si>
  <si>
    <t>無</t>
    <phoneticPr fontId="2"/>
  </si>
  <si>
    <t>徐</t>
    <rPh sb="0" eb="1">
      <t>ジョ</t>
    </rPh>
    <phoneticPr fontId="10"/>
  </si>
  <si>
    <t>劉</t>
    <rPh sb="0" eb="1">
      <t>リュウ</t>
    </rPh>
    <phoneticPr fontId="10"/>
  </si>
  <si>
    <t xml:space="preserve">                             MAET86S1が異常終了し、エラーメッセージが正しく編集されていることを確認する。</t>
    <phoneticPr fontId="2"/>
  </si>
  <si>
    <t>HAEW21Rの入力件数が0件以外、HAEW24Rの入力件数が0件の場合、
MAET86S1が正常終了、HAEW25W に出力されていないことを確認する。</t>
    <rPh sb="15" eb="17">
      <t>イガイ</t>
    </rPh>
    <phoneticPr fontId="2"/>
  </si>
  <si>
    <t>HAEW21R、HAEW24Rの入力件数がいずれも0件の場合、
MAET86S1が正常終了、HAEW25W に出力されていないことを確認する。</t>
    <phoneticPr fontId="2"/>
  </si>
  <si>
    <t>HAEW21Rの入力件数が0件、HAEW24Rの入力件数が0件以外の場合、
MAET86S1が正常終了、HAEW25W に出力されていないことを確認する。</t>
    <rPh sb="31" eb="33">
      <t>イガイ</t>
    </rPh>
    <phoneticPr fontId="2"/>
  </si>
  <si>
    <t>MAET86S1が異常終了し、エラーメッセージが正しく編集されていることを確認する</t>
    <rPh sb="9" eb="11">
      <t>イジョウ</t>
    </rPh>
    <rPh sb="24" eb="25">
      <t>タダ</t>
    </rPh>
    <rPh sb="27" eb="29">
      <t>ヘンシュウ</t>
    </rPh>
    <rPh sb="37" eb="39">
      <t>カクニン</t>
    </rPh>
    <phoneticPr fontId="2"/>
  </si>
  <si>
    <t>テストケース番号：001　HAEW21Rの入力件数が0件、HAEW24Rの入力件数が0件以外の場合、</t>
    <phoneticPr fontId="2"/>
  </si>
  <si>
    <t xml:space="preserve">                       MAET86S1が正常終了、HAEW25W に出力されていないことを確認する。</t>
    <phoneticPr fontId="2"/>
  </si>
  <si>
    <t>HAEW21R</t>
    <phoneticPr fontId="2"/>
  </si>
  <si>
    <t>HAEW24R</t>
    <phoneticPr fontId="2"/>
  </si>
  <si>
    <t>0件</t>
    <rPh sb="1" eb="2">
      <t>ケン</t>
    </rPh>
    <phoneticPr fontId="2"/>
  </si>
  <si>
    <t>テストケース番号：002　HAEW21Rの入力件数が0件以外、HAEW24Rの入力件数が0件の場合、</t>
    <phoneticPr fontId="2"/>
  </si>
  <si>
    <t>テストケース番号：003　HAEW21R、HAEW24Rの入力件数がいずれも0件の場合、</t>
    <phoneticPr fontId="2"/>
  </si>
  <si>
    <t>テストケース番号：004　HAEW21RとHAEW24Rの入力件数が0件以外の場合、</t>
    <phoneticPr fontId="2"/>
  </si>
  <si>
    <t>　 　　　　　　　　　　MAET86S1が正常終了、HAEW25W に出力結果が正しく反映されていることを確認する。</t>
    <phoneticPr fontId="2"/>
  </si>
  <si>
    <t>同一人識別番号付加口座データ（HAEW21R）</t>
    <phoneticPr fontId="2"/>
  </si>
  <si>
    <t>0000000000001</t>
    <phoneticPr fontId="2"/>
  </si>
  <si>
    <t>同期更新対象主口座データ（HAEW24R）</t>
    <phoneticPr fontId="2"/>
  </si>
  <si>
    <t>1:1</t>
    <phoneticPr fontId="2"/>
  </si>
  <si>
    <t>0000000000003</t>
    <phoneticPr fontId="2"/>
  </si>
  <si>
    <t>1:N</t>
    <phoneticPr fontId="2"/>
  </si>
  <si>
    <t>HAEW25W</t>
    <phoneticPr fontId="2"/>
  </si>
  <si>
    <t>0000000000002</t>
    <phoneticPr fontId="2"/>
  </si>
  <si>
    <t>0000000000004</t>
    <phoneticPr fontId="2"/>
  </si>
  <si>
    <t>0000000000007</t>
    <phoneticPr fontId="2"/>
  </si>
  <si>
    <t>入出力データ</t>
    <rPh sb="0" eb="3">
      <t>ニュウシュツリョク</t>
    </rPh>
    <phoneticPr fontId="2"/>
  </si>
  <si>
    <t>主口座データ同一人識別番号付加データ（HAEW25W）</t>
    <phoneticPr fontId="2"/>
  </si>
  <si>
    <t>出力結果予想</t>
    <rPh sb="0" eb="2">
      <t>シュツリョク</t>
    </rPh>
    <rPh sb="2" eb="4">
      <t>ケッカ</t>
    </rPh>
    <rPh sb="4" eb="6">
      <t>ヨソウ</t>
    </rPh>
    <phoneticPr fontId="2"/>
  </si>
  <si>
    <t>0:N</t>
    <phoneticPr fontId="2"/>
  </si>
  <si>
    <t>0000000000006</t>
    <phoneticPr fontId="2"/>
  </si>
  <si>
    <t>1:0</t>
    <phoneticPr fontId="2"/>
  </si>
  <si>
    <t xml:space="preserve"> 口座番号(9)</t>
    <phoneticPr fontId="2"/>
  </si>
  <si>
    <t>ＡＥ同一人識別番号(8)</t>
    <phoneticPr fontId="2"/>
  </si>
  <si>
    <t>A0000001</t>
    <phoneticPr fontId="2"/>
  </si>
  <si>
    <t>A0000003</t>
    <phoneticPr fontId="2"/>
  </si>
  <si>
    <t>A0000004</t>
    <phoneticPr fontId="2"/>
  </si>
  <si>
    <t>922000001</t>
    <phoneticPr fontId="2"/>
  </si>
  <si>
    <t>922000002</t>
    <phoneticPr fontId="2"/>
  </si>
  <si>
    <t>922000004</t>
    <phoneticPr fontId="2"/>
  </si>
  <si>
    <t>922000003</t>
    <phoneticPr fontId="2"/>
  </si>
  <si>
    <t>0:1</t>
    <phoneticPr fontId="2"/>
  </si>
  <si>
    <t>922000005</t>
    <phoneticPr fontId="2"/>
  </si>
  <si>
    <t>922000006</t>
    <phoneticPr fontId="2"/>
  </si>
  <si>
    <t>922000007</t>
    <phoneticPr fontId="2"/>
  </si>
  <si>
    <t>件数</t>
  </si>
  <si>
    <t>バグ検出件数</t>
  </si>
  <si>
    <t>件数</t>
    <rPh sb="0" eb="2">
      <t>ケンスウ</t>
    </rPh>
    <phoneticPr fontId="2"/>
  </si>
  <si>
    <t>バグ検出件数</t>
    <phoneticPr fontId="2"/>
  </si>
  <si>
    <t>検証点</t>
    <phoneticPr fontId="2"/>
  </si>
  <si>
    <t>004-2</t>
    <phoneticPr fontId="2"/>
  </si>
  <si>
    <t>004-3</t>
    <phoneticPr fontId="2"/>
  </si>
  <si>
    <t>004-4</t>
    <phoneticPr fontId="2"/>
  </si>
  <si>
    <t>004-5</t>
    <phoneticPr fontId="2"/>
  </si>
  <si>
    <t>004-6</t>
    <phoneticPr fontId="2"/>
  </si>
  <si>
    <t>MAET86S1 HAEW21R  KENSU = 000000000
MAET86S1 HAEW24R  KENSU = 000000001
MAET86S1 HAEW25W  KENSU = 000000000</t>
    <phoneticPr fontId="2"/>
  </si>
  <si>
    <t xml:space="preserve">MAET86S1 HAEW21R  KENSU = 000000001 
MAET86S1 HAEW24R  KENSU = 000000000 
MAET86S1 HAEW25W  KENSU = 000000000 </t>
    <phoneticPr fontId="2"/>
  </si>
  <si>
    <t>MAET86S1 HAEW21R  KENSU = 000000000
MAET86S1 HAEW24R  KENSU = 000000000
MAET86S1 HAEW25W  KENSU = 000000000</t>
    <phoneticPr fontId="2"/>
  </si>
  <si>
    <t>MAET86S1 HAEW21R  KENSU = 000000003
MAET86S1 HAEW24R  KENSU = 000000007
MAET86S1 HAEW25W  KENSU = 000000003</t>
    <phoneticPr fontId="2"/>
  </si>
  <si>
    <t>劉</t>
    <rPh sb="0" eb="1">
      <t>リュウ</t>
    </rPh>
    <phoneticPr fontId="2"/>
  </si>
  <si>
    <t>※バッチ業務日付= 2023/4/10</t>
    <phoneticPr fontId="2"/>
  </si>
  <si>
    <t>口座リンク管理番号-C1 (KEY)</t>
  </si>
  <si>
    <t>HAEW24Rの同項目出力</t>
    <rPh sb="8" eb="9">
      <t>オナ</t>
    </rPh>
    <rPh sb="9" eb="11">
      <t>コウモク</t>
    </rPh>
    <rPh sb="11" eb="13">
      <t>シュツリョク</t>
    </rPh>
    <phoneticPr fontId="2"/>
  </si>
  <si>
    <t>口座リンク管理番号(KEY)</t>
  </si>
  <si>
    <t>マスタKEY  &lt; トランKEY</t>
  </si>
  <si>
    <t>マスタKEY  &gt; トランKEY</t>
  </si>
  <si>
    <t>マスタKEY  = トランKEY</t>
    <phoneticPr fontId="2"/>
  </si>
  <si>
    <t>テストケース番号：005　下位モジュールの実行結果がエラーの場合、</t>
    <phoneticPr fontId="2"/>
  </si>
  <si>
    <t>テスト内容</t>
    <rPh sb="3" eb="5">
      <t>ナイヨウ</t>
    </rPh>
    <phoneticPr fontId="2"/>
  </si>
  <si>
    <t>検正方法</t>
    <phoneticPr fontId="2"/>
  </si>
  <si>
    <t>005-01</t>
    <phoneticPr fontId="2"/>
  </si>
  <si>
    <t>下位モジュール【VQAP02】にてエラーが発生した場合</t>
    <phoneticPr fontId="2"/>
  </si>
  <si>
    <t xml:space="preserve">                       MAET86S1が異常終了、異常として判断し、処理されていることを確認する。</t>
    <phoneticPr fontId="2"/>
  </si>
  <si>
    <t>XPEDITER</t>
    <phoneticPr fontId="2"/>
  </si>
  <si>
    <t>XPEDITER</t>
    <phoneticPr fontId="2"/>
  </si>
  <si>
    <t>テストケース番号・名称：005　共通＿ジョブログ出力機能(VQAP02)を行い、処理結果コードが異常の場合、</t>
    <rPh sb="37" eb="38">
      <t>オコナ</t>
    </rPh>
    <phoneticPr fontId="2"/>
  </si>
  <si>
    <t>D06764.A9999999.MAET86S1.HAEW21R.T1
D06764.A9999999.MAET86S1.HAEW24R.T1 
D06764.A9999999.MAET86S1.HAEW25W.T1
MAES86S1_RUN1.xls</t>
    <phoneticPr fontId="2"/>
  </si>
  <si>
    <t>D06764.A9999999.MAET86S1.HAEW21R.T2
D06764.A9999999.MAET86S1.HAEW24R.T2
D06764.A9999999.MAET86S1.HAEW25W.T2
MAES86S1_RUN2.xlsx</t>
    <phoneticPr fontId="2"/>
  </si>
  <si>
    <t>D06764.A9999999.MAET86S1.HAEW21R.T3
D06764.A9999999.MAET86S1.HAEW24R.T3
D06764.A9999999.MAET86S1.HAEW25W.T3
MAES86S1_RUN3.xlsx</t>
    <phoneticPr fontId="2"/>
  </si>
  <si>
    <t>D06764.A9999999.MAET86S1.HAEW21R.T4
D06764.A9999999.MAET86S1.HAEW24R.T4
D06764.A9999999.MAET86S1.HAEW25W.T4
MAET86S1_RUN4.xlsx</t>
    <phoneticPr fontId="2"/>
  </si>
  <si>
    <t>1件</t>
    <rPh sb="1" eb="2">
      <t>ケン</t>
    </rPh>
    <phoneticPr fontId="2"/>
  </si>
  <si>
    <t>１件</t>
    <rPh sb="1" eb="2">
      <t>ケン</t>
    </rPh>
    <phoneticPr fontId="2"/>
  </si>
  <si>
    <t>JNW劉浩</t>
    <rPh sb="3" eb="4">
      <t>リュウ</t>
    </rPh>
    <rPh sb="4" eb="5">
      <t>コウ</t>
    </rPh>
    <phoneticPr fontId="2"/>
  </si>
  <si>
    <t>JNW劉浩</t>
    <phoneticPr fontId="2"/>
  </si>
  <si>
    <t>2023/4/11</t>
    <phoneticPr fontId="2"/>
  </si>
  <si>
    <t>005-1</t>
    <phoneticPr fontId="2"/>
  </si>
  <si>
    <t>005-2</t>
    <phoneticPr fontId="2"/>
  </si>
  <si>
    <t>検証番号</t>
    <rPh sb="0" eb="2">
      <t>ケンショウ</t>
    </rPh>
    <rPh sb="2" eb="4">
      <t>バンゴウ</t>
    </rPh>
    <phoneticPr fontId="2"/>
  </si>
  <si>
    <t>004-1</t>
    <phoneticPr fontId="2"/>
  </si>
  <si>
    <t>OK</t>
    <phoneticPr fontId="2"/>
  </si>
  <si>
    <t>MAET86S1_異常.xlsx</t>
    <rPh sb="9" eb="11">
      <t>イジョウ</t>
    </rPh>
    <phoneticPr fontId="2"/>
  </si>
  <si>
    <t>徐（JNW）</t>
    <rPh sb="0" eb="1">
      <t>ジョ</t>
    </rPh>
    <phoneticPr fontId="2"/>
  </si>
  <si>
    <t>徐（JNW）</t>
    <phoneticPr fontId="2"/>
  </si>
  <si>
    <t>IPO ファイル</t>
    <phoneticPr fontId="2"/>
  </si>
  <si>
    <t>選択</t>
    <rPh sb="0" eb="2">
      <t>センタク</t>
    </rPh>
    <phoneticPr fontId="2"/>
  </si>
  <si>
    <t>テスト報告書フォマード</t>
    <rPh sb="3" eb="6">
      <t>ホウコクショ</t>
    </rPh>
    <phoneticPr fontId="2"/>
  </si>
  <si>
    <t>成果物格納</t>
    <rPh sb="0" eb="5">
      <t>セイカモノカクノウ</t>
    </rPh>
    <phoneticPr fontId="2"/>
  </si>
  <si>
    <t>バッチACP</t>
    <phoneticPr fontId="2"/>
  </si>
  <si>
    <t>部品</t>
    <rPh sb="0" eb="2">
      <t>ブヒン</t>
    </rPh>
    <phoneticPr fontId="2"/>
  </si>
  <si>
    <t>オンラインACP</t>
    <phoneticPr fontId="2"/>
  </si>
  <si>
    <t>リスト</t>
    <phoneticPr fontId="2"/>
  </si>
  <si>
    <t>UZ0Q01</t>
    <phoneticPr fontId="2"/>
  </si>
  <si>
    <t>UZ0Q06</t>
    <phoneticPr fontId="2"/>
  </si>
  <si>
    <t>UZ0Q07</t>
    <phoneticPr fontId="2"/>
  </si>
  <si>
    <t>UZ8K01</t>
    <phoneticPr fontId="2"/>
  </si>
  <si>
    <t>UZ2B01</t>
    <phoneticPr fontId="2"/>
  </si>
  <si>
    <t>UZ0C01</t>
    <phoneticPr fontId="2"/>
  </si>
  <si>
    <t>UZ0C03</t>
    <phoneticPr fontId="2"/>
  </si>
  <si>
    <t>UZ0C09</t>
    <phoneticPr fontId="2"/>
  </si>
  <si>
    <t>UZ0C10</t>
    <phoneticPr fontId="2"/>
  </si>
  <si>
    <t>VER</t>
    <phoneticPr fontId="2"/>
  </si>
  <si>
    <t>テスト報告書情報入力</t>
    <rPh sb="3" eb="6">
      <t>ホウコクショ</t>
    </rPh>
    <rPh sb="6" eb="8">
      <t>ジョウホウ</t>
    </rPh>
    <rPh sb="8" eb="10">
      <t>ニュウリョク</t>
    </rPh>
    <phoneticPr fontId="2"/>
  </si>
  <si>
    <t>最終承認者・会社略称</t>
    <phoneticPr fontId="2"/>
  </si>
  <si>
    <t>最終承認者</t>
    <phoneticPr fontId="2"/>
  </si>
  <si>
    <t>会社略称</t>
    <phoneticPr fontId="2"/>
  </si>
  <si>
    <t>担当者</t>
    <rPh sb="0" eb="2">
      <t>タントウ</t>
    </rPh>
    <rPh sb="2" eb="3">
      <t>シャ</t>
    </rPh>
    <phoneticPr fontId="2"/>
  </si>
  <si>
    <t>担当者所属</t>
    <rPh sb="0" eb="2">
      <t>タントウ</t>
    </rPh>
    <rPh sb="2" eb="3">
      <t>シャ</t>
    </rPh>
    <rPh sb="3" eb="5">
      <t>ショゾク</t>
    </rPh>
    <phoneticPr fontId="2"/>
  </si>
  <si>
    <t>新規作成日</t>
    <phoneticPr fontId="2"/>
  </si>
  <si>
    <t>報告書
作成</t>
    <rPh sb="0" eb="3">
      <t>ホウコクショ</t>
    </rPh>
    <rPh sb="4" eb="6">
      <t>サクセイ</t>
    </rPh>
    <phoneticPr fontId="2"/>
  </si>
  <si>
    <t xml:space="preserve">上传画面的截图，可以自动生成pytho的代码 </t>
    <phoneticPr fontId="2"/>
  </si>
  <si>
    <t xml:space="preserve">对提示词进行优化，做成下拉框 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</si>
</sst>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yyyy\.mm\.dd"/>
    <numFmt numFmtId="177" formatCode="0.0_ "/>
    <numFmt numFmtId="178" formatCode="0_ "/>
    <numFmt numFmtId="179" formatCode="m/d"/>
    <numFmt numFmtId="180" formatCode="#,##0;\-#,##0;&quot;-&quot;"/>
    <numFmt numFmtId="181" formatCode="yyyy/mm/dd"/>
    <numFmt numFmtId="182" formatCode="m/d;@"/>
  </numFmts>
  <fonts count="84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sz val="20"/>
      <name val="ＭＳ Ｐゴシック"/>
      <family val="3"/>
      <charset val="128"/>
    </font>
    <font>
      <u/>
      <sz val="11"/>
      <color indexed="36"/>
      <name val="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10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b/>
      <sz val="11"/>
      <name val="Helv"/>
      <family val="2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11"/>
      <name val="明朝"/>
      <family val="1"/>
      <charset val="128"/>
    </font>
    <font>
      <sz val="10"/>
      <color indexed="7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0"/>
      <color theme="1"/>
      <name val="Meiryo UI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u/>
      <sz val="12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color indexed="22"/>
      <name val="ＭＳ 明朝"/>
      <family val="1"/>
      <charset val="128"/>
    </font>
    <font>
      <sz val="10"/>
      <color indexed="10"/>
      <name val="ＭＳ 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8"/>
      <color theme="1"/>
      <name val="ＭＳ ゴシック"/>
      <family val="3"/>
      <charset val="128"/>
    </font>
    <font>
      <sz val="9"/>
      <color theme="1"/>
      <name val="ＭＳ 明朝"/>
      <family val="1"/>
      <charset val="128"/>
    </font>
    <font>
      <sz val="11"/>
      <name val="Microsoft YaHei"/>
      <family val="3"/>
      <charset val="134"/>
    </font>
  </fonts>
  <fills count="6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34998626667073579"/>
        <bgColor indexed="64"/>
      </patternFill>
    </fill>
  </fills>
  <borders count="8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12">
    <xf numFmtId="0" fontId="0" fillId="0" borderId="0"/>
    <xf numFmtId="0" fontId="28" fillId="0" borderId="0"/>
    <xf numFmtId="0" fontId="28" fillId="0" borderId="0"/>
    <xf numFmtId="0" fontId="47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28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3" fillId="0" borderId="0"/>
    <xf numFmtId="0" fontId="28" fillId="0" borderId="0"/>
    <xf numFmtId="0" fontId="28" fillId="0" borderId="0"/>
    <xf numFmtId="0" fontId="29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50" fillId="3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180" fontId="16" fillId="0" borderId="0" applyFill="0" applyBorder="0" applyAlignment="0"/>
    <xf numFmtId="0" fontId="17" fillId="0" borderId="0">
      <alignment horizontal="left"/>
    </xf>
    <xf numFmtId="0" fontId="23" fillId="0" borderId="0">
      <alignment vertical="center"/>
    </xf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18" fillId="0" borderId="2">
      <alignment horizontal="left" vertical="center"/>
    </xf>
    <xf numFmtId="0" fontId="3" fillId="0" borderId="0" applyBorder="0"/>
    <xf numFmtId="0" fontId="3" fillId="0" borderId="0"/>
    <xf numFmtId="0" fontId="19" fillId="0" borderId="0"/>
    <xf numFmtId="4" fontId="17" fillId="0" borderId="0">
      <alignment horizontal="right"/>
    </xf>
    <xf numFmtId="4" fontId="20" fillId="0" borderId="0">
      <alignment horizontal="right"/>
    </xf>
    <xf numFmtId="0" fontId="21" fillId="0" borderId="0">
      <alignment horizontal="left"/>
    </xf>
    <xf numFmtId="0" fontId="27" fillId="0" borderId="0"/>
    <xf numFmtId="0" fontId="22" fillId="0" borderId="0">
      <alignment horizont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50" fillId="4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50" fillId="4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50" fillId="48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0" fillId="49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50" fillId="50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51" fillId="51" borderId="68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2" fillId="52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8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53" borderId="69" applyNumberFormat="0" applyFont="0" applyAlignment="0" applyProtection="0">
      <alignment vertical="center"/>
    </xf>
    <xf numFmtId="0" fontId="1" fillId="53" borderId="69" applyNumberFormat="0" applyFont="0" applyAlignment="0" applyProtection="0">
      <alignment vertical="center"/>
    </xf>
    <xf numFmtId="0" fontId="1" fillId="53" borderId="69" applyNumberFormat="0" applyFont="0" applyAlignment="0" applyProtection="0">
      <alignment vertical="center"/>
    </xf>
    <xf numFmtId="0" fontId="1" fillId="53" borderId="69" applyNumberFormat="0" applyFont="0" applyAlignment="0" applyProtection="0">
      <alignment vertical="center"/>
    </xf>
    <xf numFmtId="0" fontId="1" fillId="22" borderId="4" applyNumberFormat="0" applyFont="0" applyAlignment="0" applyProtection="0">
      <alignment vertical="center"/>
    </xf>
    <xf numFmtId="0" fontId="1" fillId="53" borderId="69" applyNumberFormat="0" applyFont="0" applyAlignment="0" applyProtection="0">
      <alignment vertical="center"/>
    </xf>
    <xf numFmtId="0" fontId="1" fillId="53" borderId="69" applyNumberFormat="0" applyFont="0" applyAlignment="0" applyProtection="0">
      <alignment vertical="center"/>
    </xf>
    <xf numFmtId="0" fontId="28" fillId="22" borderId="4" applyNumberFormat="0" applyFont="0" applyAlignment="0" applyProtection="0">
      <alignment vertical="center"/>
    </xf>
    <xf numFmtId="0" fontId="28" fillId="22" borderId="4" applyNumberFormat="0" applyFont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54" fillId="0" borderId="70" applyNumberFormat="0" applyFill="0" applyAlignment="0" applyProtection="0">
      <alignment vertical="center"/>
    </xf>
    <xf numFmtId="0" fontId="34" fillId="0" borderId="5" applyNumberFormat="0" applyFill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56" fillId="55" borderId="71" applyNumberFormat="0" applyAlignment="0" applyProtection="0">
      <alignment vertical="center"/>
    </xf>
    <xf numFmtId="0" fontId="36" fillId="23" borderId="6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38" fontId="28" fillId="0" borderId="0" applyFont="0" applyFill="0" applyBorder="0" applyAlignment="0" applyProtection="0"/>
    <xf numFmtId="0" fontId="38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58" fillId="0" borderId="72" applyNumberFormat="0" applyFill="0" applyAlignment="0" applyProtection="0">
      <alignment vertical="center"/>
    </xf>
    <xf numFmtId="0" fontId="38" fillId="0" borderId="7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59" fillId="0" borderId="73" applyNumberFormat="0" applyFill="0" applyAlignment="0" applyProtection="0">
      <alignment vertical="center"/>
    </xf>
    <xf numFmtId="0" fontId="39" fillId="0" borderId="8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60" fillId="0" borderId="74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61" fillId="0" borderId="75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62" fillId="55" borderId="76" applyNumberFormat="0" applyAlignment="0" applyProtection="0">
      <alignment vertical="center"/>
    </xf>
    <xf numFmtId="0" fontId="42" fillId="23" borderId="11" applyNumberForma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6" fontId="28" fillId="0" borderId="0" applyFont="0" applyFill="0" applyBorder="0" applyAlignment="0" applyProtection="0"/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64" fillId="56" borderId="71" applyNumberFormat="0" applyAlignment="0" applyProtection="0">
      <alignment vertical="center"/>
    </xf>
    <xf numFmtId="0" fontId="44" fillId="7" borderId="6" applyNumberFormat="0" applyAlignment="0" applyProtection="0">
      <alignment vertical="center"/>
    </xf>
    <xf numFmtId="0" fontId="49" fillId="0" borderId="0">
      <alignment vertical="center"/>
    </xf>
    <xf numFmtId="0" fontId="3" fillId="0" borderId="0"/>
    <xf numFmtId="0" fontId="49" fillId="0" borderId="0">
      <alignment vertical="center"/>
    </xf>
    <xf numFmtId="0" fontId="28" fillId="0" borderId="0"/>
    <xf numFmtId="0" fontId="49" fillId="0" borderId="0">
      <alignment vertical="center"/>
    </xf>
    <xf numFmtId="0" fontId="49" fillId="0" borderId="0">
      <alignment vertical="center"/>
    </xf>
    <xf numFmtId="0" fontId="12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9" fillId="0" borderId="0"/>
    <xf numFmtId="0" fontId="49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47" fillId="0" borderId="0"/>
    <xf numFmtId="0" fontId="47" fillId="0" borderId="0"/>
    <xf numFmtId="0" fontId="28" fillId="0" borderId="0">
      <alignment vertical="center"/>
    </xf>
    <xf numFmtId="0" fontId="28" fillId="0" borderId="0">
      <alignment vertical="center"/>
    </xf>
    <xf numFmtId="0" fontId="3" fillId="0" borderId="0"/>
    <xf numFmtId="0" fontId="28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>
      <alignment vertical="center"/>
    </xf>
    <xf numFmtId="0" fontId="49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28" fillId="0" borderId="0"/>
    <xf numFmtId="0" fontId="28" fillId="0" borderId="0"/>
    <xf numFmtId="0" fontId="65" fillId="0" borderId="0">
      <alignment vertical="center"/>
    </xf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12" fillId="0" borderId="0">
      <alignment vertical="center"/>
    </xf>
    <xf numFmtId="0" fontId="47" fillId="0" borderId="0"/>
    <xf numFmtId="0" fontId="47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9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9" fillId="0" borderId="0">
      <alignment vertical="center"/>
    </xf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9" fillId="0" borderId="0">
      <alignment vertical="center"/>
    </xf>
    <xf numFmtId="0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6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9" fillId="0" borderId="0"/>
    <xf numFmtId="0" fontId="4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66" fillId="57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28" fillId="0" borderId="0"/>
  </cellStyleXfs>
  <cellXfs count="908">
    <xf numFmtId="0" fontId="0" fillId="0" borderId="0" xfId="0"/>
    <xf numFmtId="0" fontId="3" fillId="0" borderId="0" xfId="1" applyFont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3" fillId="0" borderId="12" xfId="1" applyFont="1" applyFill="1" applyBorder="1" applyAlignment="1">
      <alignment vertical="center"/>
    </xf>
    <xf numFmtId="0" fontId="3" fillId="0" borderId="14" xfId="1" applyFont="1" applyFill="1" applyBorder="1" applyAlignment="1">
      <alignment vertical="center"/>
    </xf>
    <xf numFmtId="0" fontId="8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4" fillId="0" borderId="12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left" vertical="center"/>
    </xf>
    <xf numFmtId="0" fontId="4" fillId="0" borderId="13" xfId="1" applyFont="1" applyFill="1" applyBorder="1" applyAlignment="1">
      <alignment horizontal="centerContinuous" vertical="center"/>
    </xf>
    <xf numFmtId="0" fontId="5" fillId="0" borderId="15" xfId="1" applyFont="1" applyFill="1" applyBorder="1" applyAlignment="1">
      <alignment horizontal="centerContinuous" vertical="center"/>
    </xf>
    <xf numFmtId="0" fontId="11" fillId="0" borderId="0" xfId="1" applyFont="1"/>
    <xf numFmtId="49" fontId="11" fillId="0" borderId="0" xfId="1" applyNumberFormat="1" applyFont="1" applyBorder="1" applyAlignment="1">
      <alignment horizontal="center" vertical="center"/>
    </xf>
    <xf numFmtId="0" fontId="11" fillId="0" borderId="0" xfId="1" applyFont="1" applyBorder="1" applyAlignment="1">
      <alignment horizontal="left"/>
    </xf>
    <xf numFmtId="0" fontId="11" fillId="0" borderId="0" xfId="1" applyFont="1" applyBorder="1" applyAlignment="1">
      <alignment horizontal="center" vertical="center" wrapText="1"/>
    </xf>
    <xf numFmtId="49" fontId="11" fillId="0" borderId="0" xfId="1" applyNumberFormat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left" vertical="center" wrapText="1"/>
    </xf>
    <xf numFmtId="0" fontId="12" fillId="0" borderId="0" xfId="1" applyFont="1"/>
    <xf numFmtId="0" fontId="12" fillId="0" borderId="0" xfId="1" applyFont="1" applyAlignment="1">
      <alignment horizontal="center"/>
    </xf>
    <xf numFmtId="0" fontId="8" fillId="0" borderId="23" xfId="1" applyFont="1" applyBorder="1" applyAlignment="1">
      <alignment horizontal="left"/>
    </xf>
    <xf numFmtId="0" fontId="8" fillId="0" borderId="24" xfId="1" applyFont="1" applyBorder="1" applyAlignment="1">
      <alignment horizontal="left"/>
    </xf>
    <xf numFmtId="0" fontId="7" fillId="0" borderId="14" xfId="1" applyFont="1" applyFill="1" applyBorder="1" applyAlignment="1">
      <alignment horizontal="centerContinuous" vertical="center"/>
    </xf>
    <xf numFmtId="0" fontId="7" fillId="0" borderId="0" xfId="1" applyFont="1" applyBorder="1" applyAlignment="1">
      <alignment vertical="center"/>
    </xf>
    <xf numFmtId="0" fontId="7" fillId="0" borderId="0" xfId="1" applyFont="1" applyFill="1" applyBorder="1" applyAlignment="1">
      <alignment vertical="center"/>
    </xf>
    <xf numFmtId="0" fontId="13" fillId="0" borderId="14" xfId="1" applyFont="1" applyFill="1" applyBorder="1" applyAlignment="1">
      <alignment horizontal="centerContinuous" vertical="center"/>
    </xf>
    <xf numFmtId="0" fontId="13" fillId="0" borderId="14" xfId="1" applyFont="1" applyFill="1" applyBorder="1" applyAlignment="1">
      <alignment horizontal="center" vertical="center"/>
    </xf>
    <xf numFmtId="0" fontId="5" fillId="0" borderId="12" xfId="1" applyFont="1" applyFill="1" applyBorder="1" applyAlignment="1">
      <alignment horizontal="center" vertical="center"/>
    </xf>
    <xf numFmtId="0" fontId="5" fillId="0" borderId="19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5" fillId="0" borderId="2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7" fillId="0" borderId="13" xfId="1" applyFont="1" applyFill="1" applyBorder="1" applyAlignment="1">
      <alignment horizontal="centerContinuous" vertical="center"/>
    </xf>
    <xf numFmtId="0" fontId="7" fillId="0" borderId="13" xfId="1" applyFont="1" applyFill="1" applyBorder="1" applyAlignment="1">
      <alignment horizontal="left" vertical="center"/>
    </xf>
    <xf numFmtId="0" fontId="14" fillId="0" borderId="15" xfId="1" applyFont="1" applyFill="1" applyBorder="1" applyAlignment="1">
      <alignment horizontal="centerContinuous" vertical="center"/>
    </xf>
    <xf numFmtId="0" fontId="7" fillId="0" borderId="12" xfId="1" applyFont="1" applyFill="1" applyBorder="1" applyAlignment="1">
      <alignment horizontal="centerContinuous" vertical="center"/>
    </xf>
    <xf numFmtId="0" fontId="13" fillId="0" borderId="12" xfId="1" applyFont="1" applyFill="1" applyBorder="1" applyAlignment="1">
      <alignment horizontal="centerContinuous" vertical="center"/>
    </xf>
    <xf numFmtId="0" fontId="14" fillId="0" borderId="15" xfId="1" applyFont="1" applyFill="1" applyBorder="1" applyAlignment="1">
      <alignment horizontal="left" vertical="center"/>
    </xf>
    <xf numFmtId="0" fontId="13" fillId="0" borderId="12" xfId="1" applyFont="1" applyFill="1" applyBorder="1" applyAlignment="1">
      <alignment horizontal="center" vertical="center"/>
    </xf>
    <xf numFmtId="0" fontId="3" fillId="0" borderId="0" xfId="1" applyFont="1" applyFill="1" applyBorder="1"/>
    <xf numFmtId="0" fontId="11" fillId="0" borderId="0" xfId="1" applyFont="1" applyFill="1" applyBorder="1"/>
    <xf numFmtId="0" fontId="11" fillId="0" borderId="0" xfId="1" applyFont="1" applyFill="1" applyBorder="1" applyAlignment="1">
      <alignment horizontal="left" vertical="center" wrapText="1"/>
    </xf>
    <xf numFmtId="0" fontId="11" fillId="0" borderId="0" xfId="1" applyFont="1" applyFill="1" applyBorder="1" applyAlignment="1">
      <alignment horizontal="left"/>
    </xf>
    <xf numFmtId="0" fontId="11" fillId="0" borderId="0" xfId="1" applyFont="1" applyFill="1" applyBorder="1" applyAlignment="1">
      <alignment vertical="center"/>
    </xf>
    <xf numFmtId="49" fontId="7" fillId="0" borderId="0" xfId="1" applyNumberFormat="1" applyFont="1" applyFill="1" applyBorder="1" applyAlignment="1">
      <alignment vertical="center"/>
    </xf>
    <xf numFmtId="49" fontId="3" fillId="0" borderId="0" xfId="1" applyNumberFormat="1" applyFont="1" applyFill="1" applyBorder="1" applyAlignment="1">
      <alignment vertical="center"/>
    </xf>
    <xf numFmtId="49" fontId="7" fillId="0" borderId="0" xfId="1" quotePrefix="1" applyNumberFormat="1" applyFont="1" applyFill="1" applyBorder="1" applyAlignment="1">
      <alignment vertical="center"/>
    </xf>
    <xf numFmtId="0" fontId="3" fillId="24" borderId="23" xfId="1" applyFont="1" applyFill="1" applyBorder="1" applyAlignment="1">
      <alignment vertical="center"/>
    </xf>
    <xf numFmtId="49" fontId="7" fillId="24" borderId="2" xfId="1" applyNumberFormat="1" applyFont="1" applyFill="1" applyBorder="1" applyAlignment="1">
      <alignment vertical="center"/>
    </xf>
    <xf numFmtId="49" fontId="7" fillId="24" borderId="24" xfId="1" applyNumberFormat="1" applyFont="1" applyFill="1" applyBorder="1" applyAlignment="1">
      <alignment vertical="center"/>
    </xf>
    <xf numFmtId="49" fontId="7" fillId="0" borderId="28" xfId="1" applyNumberFormat="1" applyFont="1" applyFill="1" applyBorder="1" applyAlignment="1">
      <alignment horizontal="center" vertical="center"/>
    </xf>
    <xf numFmtId="0" fontId="25" fillId="0" borderId="0" xfId="1" applyFont="1" applyAlignment="1"/>
    <xf numFmtId="0" fontId="26" fillId="25" borderId="23" xfId="1" applyFont="1" applyFill="1" applyBorder="1" applyAlignment="1" applyProtection="1">
      <alignment horizontal="centerContinuous" vertical="center"/>
      <protection hidden="1"/>
    </xf>
    <xf numFmtId="0" fontId="26" fillId="25" borderId="24" xfId="1" applyFont="1" applyFill="1" applyBorder="1" applyAlignment="1" applyProtection="1">
      <alignment horizontal="centerContinuous" vertical="center"/>
      <protection hidden="1"/>
    </xf>
    <xf numFmtId="0" fontId="25" fillId="25" borderId="23" xfId="1" applyFont="1" applyFill="1" applyBorder="1" applyAlignment="1" applyProtection="1">
      <alignment horizontal="centerContinuous" vertical="center"/>
      <protection hidden="1"/>
    </xf>
    <xf numFmtId="0" fontId="25" fillId="25" borderId="2" xfId="1" applyFont="1" applyFill="1" applyBorder="1" applyAlignment="1" applyProtection="1">
      <alignment horizontal="centerContinuous" vertical="center"/>
      <protection hidden="1"/>
    </xf>
    <xf numFmtId="0" fontId="25" fillId="25" borderId="24" xfId="1" applyFont="1" applyFill="1" applyBorder="1" applyAlignment="1" applyProtection="1">
      <alignment horizontal="centerContinuous" vertical="center"/>
      <protection hidden="1"/>
    </xf>
    <xf numFmtId="0" fontId="25" fillId="0" borderId="0" xfId="1" applyFont="1" applyBorder="1" applyAlignment="1"/>
    <xf numFmtId="0" fontId="25" fillId="0" borderId="13" xfId="1" applyFont="1" applyBorder="1" applyAlignment="1">
      <alignment horizontal="centerContinuous" wrapText="1"/>
    </xf>
    <xf numFmtId="0" fontId="25" fillId="0" borderId="20" xfId="1" applyFont="1" applyBorder="1" applyAlignment="1">
      <alignment horizontal="centerContinuous" wrapText="1"/>
    </xf>
    <xf numFmtId="0" fontId="25" fillId="0" borderId="0" xfId="1" applyFont="1" applyFill="1" applyBorder="1" applyAlignment="1"/>
    <xf numFmtId="0" fontId="25" fillId="0" borderId="0" xfId="1" applyFont="1" applyBorder="1" applyAlignment="1" applyProtection="1">
      <alignment horizontal="centerContinuous"/>
      <protection locked="0"/>
    </xf>
    <xf numFmtId="0" fontId="25" fillId="25" borderId="0" xfId="1" applyFont="1" applyFill="1" applyBorder="1" applyAlignment="1"/>
    <xf numFmtId="0" fontId="25" fillId="25" borderId="28" xfId="1" applyFont="1" applyFill="1" applyBorder="1" applyAlignment="1" applyProtection="1">
      <alignment horizontal="centerContinuous"/>
      <protection locked="0"/>
    </xf>
    <xf numFmtId="0" fontId="25" fillId="25" borderId="23" xfId="1" applyFont="1" applyFill="1" applyBorder="1" applyAlignment="1" applyProtection="1">
      <alignment horizontal="centerContinuous"/>
      <protection locked="0"/>
    </xf>
    <xf numFmtId="0" fontId="25" fillId="25" borderId="2" xfId="1" applyFont="1" applyFill="1" applyBorder="1" applyAlignment="1" applyProtection="1">
      <alignment horizontal="centerContinuous"/>
      <protection locked="0"/>
    </xf>
    <xf numFmtId="0" fontId="25" fillId="25" borderId="24" xfId="1" applyFont="1" applyFill="1" applyBorder="1" applyAlignment="1" applyProtection="1">
      <alignment horizontal="centerContinuous"/>
      <protection locked="0"/>
    </xf>
    <xf numFmtId="0" fontId="25" fillId="25" borderId="29" xfId="1" applyFont="1" applyFill="1" applyBorder="1" applyAlignment="1" applyProtection="1">
      <alignment horizontal="centerContinuous"/>
      <protection locked="0"/>
    </xf>
    <xf numFmtId="0" fontId="25" fillId="25" borderId="30" xfId="1" applyFont="1" applyFill="1" applyBorder="1" applyAlignment="1" applyProtection="1">
      <alignment horizontal="centerContinuous"/>
      <protection locked="0"/>
    </xf>
    <xf numFmtId="0" fontId="25" fillId="25" borderId="31" xfId="1" applyFont="1" applyFill="1" applyBorder="1" applyAlignment="1" applyProtection="1">
      <alignment horizontal="centerContinuous"/>
      <protection locked="0"/>
    </xf>
    <xf numFmtId="0" fontId="25" fillId="25" borderId="2" xfId="1" applyFont="1" applyFill="1" applyBorder="1" applyAlignment="1"/>
    <xf numFmtId="0" fontId="25" fillId="25" borderId="24" xfId="1" applyFont="1" applyFill="1" applyBorder="1" applyAlignment="1"/>
    <xf numFmtId="0" fontId="25" fillId="0" borderId="28" xfId="1" applyFont="1" applyBorder="1" applyAlignment="1" applyProtection="1">
      <alignment horizontal="left"/>
      <protection locked="0"/>
    </xf>
    <xf numFmtId="0" fontId="25" fillId="0" borderId="15" xfId="1" applyFont="1" applyBorder="1" applyAlignment="1" applyProtection="1">
      <alignment horizontal="left"/>
      <protection locked="0"/>
    </xf>
    <xf numFmtId="0" fontId="25" fillId="0" borderId="12" xfId="1" applyFont="1" applyBorder="1" applyAlignment="1"/>
    <xf numFmtId="0" fontId="25" fillId="0" borderId="19" xfId="1" applyFont="1" applyBorder="1" applyAlignment="1"/>
    <xf numFmtId="0" fontId="25" fillId="0" borderId="13" xfId="1" applyFont="1" applyBorder="1" applyAlignment="1"/>
    <xf numFmtId="0" fontId="25" fillId="0" borderId="14" xfId="1" applyFont="1" applyBorder="1" applyAlignment="1"/>
    <xf numFmtId="0" fontId="25" fillId="0" borderId="20" xfId="1" applyFont="1" applyBorder="1" applyAlignment="1"/>
    <xf numFmtId="0" fontId="25" fillId="0" borderId="14" xfId="1" applyFont="1" applyBorder="1" applyAlignment="1" applyProtection="1">
      <protection locked="0"/>
    </xf>
    <xf numFmtId="0" fontId="25" fillId="0" borderId="28" xfId="1" applyFont="1" applyBorder="1" applyAlignment="1"/>
    <xf numFmtId="0" fontId="24" fillId="25" borderId="28" xfId="1" applyFont="1" applyFill="1" applyBorder="1" applyAlignment="1" applyProtection="1">
      <alignment horizontal="centerContinuous"/>
      <protection hidden="1"/>
    </xf>
    <xf numFmtId="0" fontId="25" fillId="25" borderId="23" xfId="1" applyFont="1" applyFill="1" applyBorder="1" applyAlignment="1" applyProtection="1">
      <alignment horizontal="centerContinuous"/>
      <protection hidden="1"/>
    </xf>
    <xf numFmtId="0" fontId="25" fillId="25" borderId="2" xfId="1" applyFont="1" applyFill="1" applyBorder="1" applyAlignment="1" applyProtection="1">
      <alignment horizontal="centerContinuous"/>
      <protection hidden="1"/>
    </xf>
    <xf numFmtId="0" fontId="25" fillId="25" borderId="24" xfId="1" applyFont="1" applyFill="1" applyBorder="1" applyAlignment="1" applyProtection="1">
      <alignment horizontal="center"/>
      <protection hidden="1"/>
    </xf>
    <xf numFmtId="0" fontId="25" fillId="25" borderId="23" xfId="1" applyFont="1" applyFill="1" applyBorder="1" applyAlignment="1" applyProtection="1">
      <alignment horizontal="center"/>
      <protection hidden="1"/>
    </xf>
    <xf numFmtId="0" fontId="25" fillId="25" borderId="2" xfId="1" applyFont="1" applyFill="1" applyBorder="1" applyAlignment="1" applyProtection="1">
      <alignment horizontal="center"/>
      <protection hidden="1"/>
    </xf>
    <xf numFmtId="0" fontId="25" fillId="0" borderId="32" xfId="1" applyFont="1" applyBorder="1" applyAlignment="1"/>
    <xf numFmtId="0" fontId="24" fillId="0" borderId="32" xfId="1" applyFont="1" applyBorder="1" applyAlignment="1">
      <alignment horizontal="center" vertical="center"/>
    </xf>
    <xf numFmtId="0" fontId="24" fillId="0" borderId="33" xfId="1" applyFont="1" applyBorder="1" applyAlignment="1">
      <alignment horizontal="left" vertical="top"/>
    </xf>
    <xf numFmtId="0" fontId="25" fillId="0" borderId="34" xfId="1" applyFont="1" applyBorder="1" applyAlignment="1">
      <alignment horizontal="left" vertical="top"/>
    </xf>
    <xf numFmtId="0" fontId="25" fillId="0" borderId="35" xfId="1" applyFont="1" applyBorder="1" applyAlignment="1">
      <alignment horizontal="left" vertical="top"/>
    </xf>
    <xf numFmtId="0" fontId="25" fillId="0" borderId="32" xfId="1" applyFont="1" applyBorder="1" applyAlignment="1" applyProtection="1">
      <alignment horizontal="center" vertical="center"/>
      <protection locked="0"/>
    </xf>
    <xf numFmtId="0" fontId="25" fillId="0" borderId="33" xfId="1" applyFont="1" applyFill="1" applyBorder="1" applyAlignment="1" applyProtection="1">
      <alignment horizontal="left" vertical="top"/>
      <protection locked="0"/>
    </xf>
    <xf numFmtId="0" fontId="25" fillId="0" borderId="34" xfId="1" applyFont="1" applyFill="1" applyBorder="1" applyAlignment="1" applyProtection="1">
      <alignment horizontal="left" vertical="top"/>
      <protection locked="0"/>
    </xf>
    <xf numFmtId="0" fontId="25" fillId="0" borderId="35" xfId="1" applyFont="1" applyFill="1" applyBorder="1" applyAlignment="1" applyProtection="1">
      <alignment horizontal="left" vertical="top"/>
      <protection locked="0"/>
    </xf>
    <xf numFmtId="0" fontId="24" fillId="0" borderId="36" xfId="1" applyFont="1" applyBorder="1" applyAlignment="1">
      <alignment horizontal="center" vertical="center"/>
    </xf>
    <xf numFmtId="0" fontId="24" fillId="0" borderId="37" xfId="1" applyFont="1" applyBorder="1" applyAlignment="1">
      <alignment horizontal="left" vertical="top"/>
    </xf>
    <xf numFmtId="0" fontId="25" fillId="0" borderId="38" xfId="1" applyFont="1" applyBorder="1" applyAlignment="1">
      <alignment horizontal="left" vertical="top"/>
    </xf>
    <xf numFmtId="0" fontId="25" fillId="0" borderId="39" xfId="1" applyFont="1" applyBorder="1" applyAlignment="1">
      <alignment horizontal="left" vertical="top"/>
    </xf>
    <xf numFmtId="0" fontId="25" fillId="0" borderId="36" xfId="1" applyFont="1" applyBorder="1" applyAlignment="1" applyProtection="1">
      <alignment horizontal="center" vertical="center"/>
      <protection locked="0"/>
    </xf>
    <xf numFmtId="0" fontId="25" fillId="0" borderId="37" xfId="1" applyFont="1" applyFill="1" applyBorder="1" applyAlignment="1" applyProtection="1">
      <alignment horizontal="left" vertical="top"/>
      <protection locked="0"/>
    </xf>
    <xf numFmtId="0" fontId="25" fillId="0" borderId="38" xfId="1" applyFont="1" applyFill="1" applyBorder="1" applyAlignment="1" applyProtection="1">
      <alignment horizontal="left" vertical="top"/>
      <protection locked="0"/>
    </xf>
    <xf numFmtId="0" fontId="25" fillId="0" borderId="39" xfId="1" applyFont="1" applyFill="1" applyBorder="1" applyAlignment="1" applyProtection="1">
      <alignment horizontal="left" vertical="top"/>
      <protection locked="0"/>
    </xf>
    <xf numFmtId="0" fontId="25" fillId="0" borderId="0" xfId="1" applyFont="1" applyAlignment="1">
      <alignment wrapText="1"/>
    </xf>
    <xf numFmtId="0" fontId="28" fillId="0" borderId="12" xfId="1" applyFont="1" applyBorder="1" applyAlignment="1">
      <alignment horizontal="centerContinuous" vertical="center"/>
    </xf>
    <xf numFmtId="0" fontId="28" fillId="0" borderId="19" xfId="1" applyFont="1" applyBorder="1" applyAlignment="1">
      <alignment horizontal="centerContinuous" vertical="center"/>
    </xf>
    <xf numFmtId="0" fontId="28" fillId="0" borderId="13" xfId="1" applyFont="1" applyBorder="1" applyAlignment="1">
      <alignment horizontal="centerContinuous" vertical="center"/>
    </xf>
    <xf numFmtId="0" fontId="28" fillId="0" borderId="14" xfId="1" applyFont="1" applyBorder="1" applyAlignment="1">
      <alignment horizontal="centerContinuous" vertical="center"/>
    </xf>
    <xf numFmtId="0" fontId="28" fillId="0" borderId="20" xfId="1" applyFont="1" applyBorder="1" applyAlignment="1">
      <alignment horizontal="centerContinuous" vertical="center"/>
    </xf>
    <xf numFmtId="0" fontId="28" fillId="0" borderId="13" xfId="1" applyFont="1" applyBorder="1" applyAlignment="1">
      <alignment horizontal="left" vertical="center"/>
    </xf>
    <xf numFmtId="0" fontId="25" fillId="0" borderId="28" xfId="1" applyFont="1" applyBorder="1" applyAlignment="1" applyProtection="1">
      <alignment horizontal="center"/>
      <protection locked="0"/>
    </xf>
    <xf numFmtId="0" fontId="25" fillId="0" borderId="13" xfId="1" applyFont="1" applyBorder="1" applyAlignment="1">
      <alignment horizontal="centerContinuous" shrinkToFit="1"/>
    </xf>
    <xf numFmtId="0" fontId="25" fillId="0" borderId="14" xfId="1" applyFont="1" applyBorder="1" applyAlignment="1">
      <alignment horizontal="centerContinuous" shrinkToFit="1"/>
    </xf>
    <xf numFmtId="0" fontId="25" fillId="0" borderId="20" xfId="1" applyFont="1" applyBorder="1" applyAlignment="1">
      <alignment horizontal="centerContinuous" shrinkToFit="1"/>
    </xf>
    <xf numFmtId="0" fontId="28" fillId="0" borderId="0" xfId="1" applyFont="1"/>
    <xf numFmtId="0" fontId="28" fillId="0" borderId="0" xfId="1" applyFont="1" applyAlignment="1">
      <alignment horizontal="center"/>
    </xf>
    <xf numFmtId="0" fontId="8" fillId="0" borderId="23" xfId="1" applyFont="1" applyBorder="1"/>
    <xf numFmtId="0" fontId="28" fillId="0" borderId="2" xfId="1" applyFont="1" applyBorder="1"/>
    <xf numFmtId="0" fontId="28" fillId="0" borderId="24" xfId="1" applyFont="1" applyBorder="1"/>
    <xf numFmtId="0" fontId="28" fillId="0" borderId="0" xfId="1" applyFont="1" applyFill="1" applyBorder="1" applyAlignment="1">
      <alignment horizontal="center" vertical="center"/>
    </xf>
    <xf numFmtId="0" fontId="3" fillId="0" borderId="0" xfId="705" applyFont="1" applyAlignment="1">
      <alignment vertical="center"/>
    </xf>
    <xf numFmtId="0" fontId="3" fillId="0" borderId="0" xfId="702" applyFont="1" applyAlignment="1">
      <alignment vertical="center"/>
    </xf>
    <xf numFmtId="0" fontId="3" fillId="0" borderId="0" xfId="704" applyFont="1" applyAlignment="1">
      <alignment vertical="center"/>
    </xf>
    <xf numFmtId="0" fontId="11" fillId="0" borderId="15" xfId="1" applyFont="1" applyBorder="1" applyAlignment="1">
      <alignment vertical="top"/>
    </xf>
    <xf numFmtId="0" fontId="11" fillId="0" borderId="12" xfId="1" applyFont="1" applyBorder="1" applyAlignment="1">
      <alignment vertical="top"/>
    </xf>
    <xf numFmtId="0" fontId="11" fillId="0" borderId="19" xfId="1" applyFont="1" applyBorder="1" applyAlignment="1">
      <alignment vertical="top"/>
    </xf>
    <xf numFmtId="0" fontId="11" fillId="0" borderId="12" xfId="1" applyFont="1" applyFill="1" applyBorder="1" applyAlignment="1">
      <alignment vertical="center"/>
    </xf>
    <xf numFmtId="0" fontId="11" fillId="0" borderId="19" xfId="1" applyFont="1" applyFill="1" applyBorder="1" applyAlignment="1">
      <alignment vertical="center"/>
    </xf>
    <xf numFmtId="0" fontId="68" fillId="0" borderId="12" xfId="1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69" fillId="0" borderId="0" xfId="1" applyFont="1" applyAlignment="1">
      <alignment horizontal="centerContinuous" vertical="center"/>
    </xf>
    <xf numFmtId="0" fontId="68" fillId="0" borderId="0" xfId="1" applyFont="1" applyBorder="1" applyAlignment="1">
      <alignment horizontal="centerContinuous" vertical="center"/>
    </xf>
    <xf numFmtId="0" fontId="11" fillId="0" borderId="0" xfId="1" applyFont="1" applyAlignment="1">
      <alignment horizontal="centerContinuous" vertical="center"/>
    </xf>
    <xf numFmtId="0" fontId="68" fillId="0" borderId="0" xfId="1" applyFont="1" applyBorder="1" applyAlignment="1">
      <alignment horizontal="center" vertical="center"/>
    </xf>
    <xf numFmtId="0" fontId="11" fillId="0" borderId="15" xfId="1" applyFont="1" applyFill="1" applyBorder="1" applyAlignment="1">
      <alignment vertical="top"/>
    </xf>
    <xf numFmtId="0" fontId="28" fillId="0" borderId="12" xfId="1" applyFont="1" applyFill="1" applyBorder="1" applyAlignment="1">
      <alignment vertical="top"/>
    </xf>
    <xf numFmtId="0" fontId="11" fillId="0" borderId="12" xfId="1" applyFont="1" applyFill="1" applyBorder="1" applyAlignment="1">
      <alignment vertical="top"/>
    </xf>
    <xf numFmtId="0" fontId="28" fillId="0" borderId="19" xfId="1" applyFont="1" applyFill="1" applyBorder="1" applyAlignment="1">
      <alignment vertical="top"/>
    </xf>
    <xf numFmtId="0" fontId="70" fillId="0" borderId="15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11" fillId="0" borderId="13" xfId="1" applyFont="1" applyBorder="1" applyAlignment="1">
      <alignment vertical="center"/>
    </xf>
    <xf numFmtId="0" fontId="11" fillId="0" borderId="14" xfId="1" applyFont="1" applyBorder="1" applyAlignment="1">
      <alignment vertical="center"/>
    </xf>
    <xf numFmtId="0" fontId="70" fillId="0" borderId="27" xfId="1" applyFont="1" applyFill="1" applyBorder="1" applyAlignment="1">
      <alignment horizontal="centerContinuous" vertical="center"/>
    </xf>
    <xf numFmtId="0" fontId="11" fillId="0" borderId="12" xfId="1" applyFont="1" applyFill="1" applyBorder="1" applyAlignment="1">
      <alignment horizontal="centerContinuous" vertical="center"/>
    </xf>
    <xf numFmtId="0" fontId="8" fillId="0" borderId="12" xfId="1" applyFont="1" applyFill="1" applyBorder="1" applyAlignment="1">
      <alignment horizontal="centerContinuous" vertical="center"/>
    </xf>
    <xf numFmtId="0" fontId="70" fillId="0" borderId="15" xfId="1" applyFont="1" applyFill="1" applyBorder="1" applyAlignment="1">
      <alignment horizontal="left" vertical="center"/>
    </xf>
    <xf numFmtId="0" fontId="8" fillId="0" borderId="12" xfId="1" applyFont="1" applyFill="1" applyBorder="1" applyAlignment="1">
      <alignment horizontal="center" vertical="center"/>
    </xf>
    <xf numFmtId="0" fontId="8" fillId="0" borderId="12" xfId="1" applyFont="1" applyFill="1" applyBorder="1" applyAlignment="1">
      <alignment horizontal="left" vertical="center"/>
    </xf>
    <xf numFmtId="0" fontId="11" fillId="0" borderId="0" xfId="1" applyFont="1" applyBorder="1" applyAlignment="1">
      <alignment vertical="center"/>
    </xf>
    <xf numFmtId="0" fontId="11" fillId="0" borderId="19" xfId="1" applyFont="1" applyBorder="1" applyAlignment="1">
      <alignment vertical="center"/>
    </xf>
    <xf numFmtId="0" fontId="11" fillId="0" borderId="14" xfId="1" applyFont="1" applyFill="1" applyBorder="1" applyAlignment="1">
      <alignment horizontal="centerContinuous" vertical="center"/>
    </xf>
    <xf numFmtId="0" fontId="8" fillId="0" borderId="14" xfId="1" applyFont="1" applyFill="1" applyBorder="1" applyAlignment="1">
      <alignment horizontal="centerContinuous" vertical="center"/>
    </xf>
    <xf numFmtId="0" fontId="8" fillId="0" borderId="14" xfId="1" applyFont="1" applyFill="1" applyBorder="1" applyAlignment="1">
      <alignment horizontal="center" vertical="center"/>
    </xf>
    <xf numFmtId="0" fontId="11" fillId="0" borderId="20" xfId="1" applyFont="1" applyFill="1" applyBorder="1" applyAlignment="1">
      <alignment vertical="center"/>
    </xf>
    <xf numFmtId="0" fontId="11" fillId="0" borderId="22" xfId="1" applyFont="1" applyBorder="1" applyAlignment="1">
      <alignment vertical="center"/>
    </xf>
    <xf numFmtId="0" fontId="11" fillId="0" borderId="21" xfId="1" applyFont="1" applyBorder="1" applyAlignment="1">
      <alignment vertical="center"/>
    </xf>
    <xf numFmtId="0" fontId="11" fillId="0" borderId="21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center" vertical="center"/>
    </xf>
    <xf numFmtId="0" fontId="11" fillId="0" borderId="22" xfId="1" applyFont="1" applyFill="1" applyBorder="1" applyAlignment="1">
      <alignment vertical="center"/>
    </xf>
    <xf numFmtId="0" fontId="11" fillId="0" borderId="20" xfId="1" applyFont="1" applyBorder="1" applyAlignment="1">
      <alignment vertical="center"/>
    </xf>
    <xf numFmtId="49" fontId="11" fillId="0" borderId="0" xfId="1" applyNumberFormat="1" applyFont="1" applyBorder="1" applyAlignment="1">
      <alignment horizontal="left" vertical="center"/>
    </xf>
    <xf numFmtId="0" fontId="11" fillId="0" borderId="15" xfId="1" applyFont="1" applyBorder="1" applyAlignment="1">
      <alignment vertical="center"/>
    </xf>
    <xf numFmtId="0" fontId="67" fillId="0" borderId="14" xfId="1" applyFont="1" applyBorder="1" applyAlignment="1">
      <alignment horizontal="center" vertical="center"/>
    </xf>
    <xf numFmtId="0" fontId="67" fillId="0" borderId="14" xfId="1" applyFont="1" applyBorder="1" applyAlignment="1">
      <alignment horizontal="left" vertical="center"/>
    </xf>
    <xf numFmtId="0" fontId="11" fillId="0" borderId="21" xfId="1" applyFont="1" applyBorder="1" applyAlignment="1">
      <alignment horizontal="left" vertical="center"/>
    </xf>
    <xf numFmtId="0" fontId="11" fillId="0" borderId="0" xfId="1" applyFont="1" applyBorder="1" applyAlignment="1">
      <alignment horizontal="left" vertical="center"/>
    </xf>
    <xf numFmtId="0" fontId="67" fillId="0" borderId="0" xfId="1" applyFont="1" applyBorder="1" applyAlignment="1">
      <alignment horizontal="left" vertical="center"/>
    </xf>
    <xf numFmtId="0" fontId="11" fillId="0" borderId="22" xfId="1" applyFont="1" applyBorder="1" applyAlignment="1">
      <alignment horizontal="left" vertical="center"/>
    </xf>
    <xf numFmtId="0" fontId="11" fillId="0" borderId="0" xfId="1" quotePrefix="1" applyFont="1" applyBorder="1" applyAlignment="1">
      <alignment horizontal="left" vertical="center"/>
    </xf>
    <xf numFmtId="0" fontId="11" fillId="0" borderId="0" xfId="1" quotePrefix="1" applyFont="1" applyAlignment="1">
      <alignment horizontal="left" vertical="center"/>
    </xf>
    <xf numFmtId="0" fontId="11" fillId="0" borderId="14" xfId="1" applyFont="1" applyBorder="1" applyAlignment="1">
      <alignment horizontal="left" vertical="center"/>
    </xf>
    <xf numFmtId="0" fontId="11" fillId="0" borderId="14" xfId="1" quotePrefix="1" applyFont="1" applyBorder="1" applyAlignment="1">
      <alignment horizontal="left" vertical="center"/>
    </xf>
    <xf numFmtId="0" fontId="11" fillId="0" borderId="20" xfId="1" applyFont="1" applyBorder="1" applyAlignment="1">
      <alignment horizontal="left" vertical="center"/>
    </xf>
    <xf numFmtId="0" fontId="11" fillId="0" borderId="13" xfId="1" applyFont="1" applyFill="1" applyBorder="1" applyAlignment="1">
      <alignment horizontal="centerContinuous" vertical="center"/>
    </xf>
    <xf numFmtId="0" fontId="11" fillId="0" borderId="13" xfId="1" applyFont="1" applyFill="1" applyBorder="1" applyAlignment="1">
      <alignment horizontal="left" vertical="center"/>
    </xf>
    <xf numFmtId="0" fontId="11" fillId="0" borderId="15" xfId="1" applyFont="1" applyBorder="1" applyAlignment="1">
      <alignment horizontal="centerContinuous" vertical="center"/>
    </xf>
    <xf numFmtId="0" fontId="11" fillId="0" borderId="15" xfId="1" applyFont="1" applyBorder="1" applyAlignment="1">
      <alignment horizontal="left" vertical="center"/>
    </xf>
    <xf numFmtId="0" fontId="11" fillId="0" borderId="21" xfId="1" quotePrefix="1" applyFont="1" applyBorder="1" applyAlignment="1">
      <alignment horizontal="centerContinuous" vertical="center"/>
    </xf>
    <xf numFmtId="0" fontId="11" fillId="0" borderId="0" xfId="1" applyFont="1" applyBorder="1" applyAlignment="1">
      <alignment horizontal="centerContinuous" vertical="center"/>
    </xf>
    <xf numFmtId="0" fontId="11" fillId="0" borderId="21" xfId="1" applyFont="1" applyBorder="1" applyAlignment="1">
      <alignment horizontal="centerContinuous" vertical="center"/>
    </xf>
    <xf numFmtId="49" fontId="11" fillId="0" borderId="21" xfId="1" applyNumberFormat="1" applyFont="1" applyBorder="1" applyAlignment="1">
      <alignment horizontal="left" vertical="center"/>
    </xf>
    <xf numFmtId="0" fontId="11" fillId="0" borderId="22" xfId="1" applyFont="1" applyBorder="1" applyAlignment="1">
      <alignment horizontal="left" vertical="center" wrapText="1"/>
    </xf>
    <xf numFmtId="49" fontId="11" fillId="0" borderId="13" xfId="1" applyNumberFormat="1" applyFont="1" applyBorder="1" applyAlignment="1">
      <alignment horizontal="left" vertical="center"/>
    </xf>
    <xf numFmtId="0" fontId="11" fillId="0" borderId="20" xfId="1" applyFont="1" applyBorder="1" applyAlignment="1">
      <alignment horizontal="left" vertical="center" wrapText="1"/>
    </xf>
    <xf numFmtId="0" fontId="70" fillId="0" borderId="16" xfId="1" applyFont="1" applyFill="1" applyBorder="1" applyAlignment="1">
      <alignment horizontal="centerContinuous" vertical="center"/>
    </xf>
    <xf numFmtId="0" fontId="70" fillId="0" borderId="17" xfId="1" applyFont="1" applyFill="1" applyBorder="1" applyAlignment="1">
      <alignment horizontal="centerContinuous" vertical="center"/>
    </xf>
    <xf numFmtId="0" fontId="8" fillId="0" borderId="17" xfId="1" applyFont="1" applyFill="1" applyBorder="1" applyAlignment="1">
      <alignment horizontal="centerContinuous" vertical="center"/>
    </xf>
    <xf numFmtId="0" fontId="8" fillId="0" borderId="18" xfId="1" applyFont="1" applyFill="1" applyBorder="1" applyAlignment="1">
      <alignment horizontal="centerContinuous" vertical="center"/>
    </xf>
    <xf numFmtId="0" fontId="70" fillId="24" borderId="16" xfId="1" applyFont="1" applyFill="1" applyBorder="1" applyAlignment="1">
      <alignment horizontal="centerContinuous" vertical="center"/>
    </xf>
    <xf numFmtId="0" fontId="70" fillId="24" borderId="17" xfId="1" applyFont="1" applyFill="1" applyBorder="1" applyAlignment="1">
      <alignment horizontal="centerContinuous" vertical="center"/>
    </xf>
    <xf numFmtId="0" fontId="8" fillId="24" borderId="17" xfId="1" applyFont="1" applyFill="1" applyBorder="1" applyAlignment="1">
      <alignment horizontal="centerContinuous" vertical="center"/>
    </xf>
    <xf numFmtId="0" fontId="8" fillId="24" borderId="18" xfId="1" applyFont="1" applyFill="1" applyBorder="1" applyAlignment="1">
      <alignment horizontal="centerContinuous" vertical="center"/>
    </xf>
    <xf numFmtId="0" fontId="11" fillId="24" borderId="25" xfId="1" applyFont="1" applyFill="1" applyBorder="1" applyAlignment="1">
      <alignment vertical="center"/>
    </xf>
    <xf numFmtId="0" fontId="11" fillId="24" borderId="26" xfId="1" applyFont="1" applyFill="1" applyBorder="1" applyAlignment="1">
      <alignment vertical="center"/>
    </xf>
    <xf numFmtId="0" fontId="68" fillId="0" borderId="12" xfId="1" applyFont="1" applyBorder="1" applyAlignment="1">
      <alignment horizontal="center" vertical="center"/>
    </xf>
    <xf numFmtId="0" fontId="68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28" fillId="0" borderId="12" xfId="1" applyFont="1" applyBorder="1" applyAlignment="1">
      <alignment vertical="top"/>
    </xf>
    <xf numFmtId="0" fontId="28" fillId="0" borderId="19" xfId="1" applyFont="1" applyBorder="1" applyAlignment="1">
      <alignment vertical="top"/>
    </xf>
    <xf numFmtId="0" fontId="11" fillId="0" borderId="12" xfId="703" applyFont="1" applyFill="1" applyBorder="1" applyAlignment="1">
      <alignment vertical="center"/>
    </xf>
    <xf numFmtId="0" fontId="11" fillId="0" borderId="19" xfId="703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49" fontId="7" fillId="0" borderId="28" xfId="1" applyNumberFormat="1" applyFont="1" applyFill="1" applyBorder="1" applyAlignment="1">
      <alignment horizontal="center" vertical="center"/>
    </xf>
    <xf numFmtId="182" fontId="71" fillId="0" borderId="6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704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Border="1" applyAlignment="1">
      <alignment vertic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702" applyFont="1" applyBorder="1" applyAlignment="1">
      <alignment vertical="center"/>
    </xf>
    <xf numFmtId="0" fontId="7" fillId="0" borderId="0" xfId="702" applyFont="1" applyBorder="1" applyAlignment="1">
      <alignment vertical="center"/>
    </xf>
    <xf numFmtId="0" fontId="11" fillId="0" borderId="0" xfId="702" applyFont="1" applyBorder="1" applyAlignment="1">
      <alignment vertical="center"/>
    </xf>
    <xf numFmtId="0" fontId="11" fillId="0" borderId="0" xfId="702" applyFont="1" applyBorder="1" applyAlignment="1">
      <alignment horizontal="left" vertical="center" wrapText="1"/>
    </xf>
    <xf numFmtId="0" fontId="7" fillId="0" borderId="0" xfId="0" applyFont="1" applyBorder="1"/>
    <xf numFmtId="0" fontId="11" fillId="0" borderId="0" xfId="1" applyFont="1" applyFill="1"/>
    <xf numFmtId="0" fontId="3" fillId="0" borderId="0" xfId="1" applyFont="1" applyFill="1" applyAlignment="1">
      <alignment vertical="center"/>
    </xf>
    <xf numFmtId="0" fontId="3" fillId="2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5" fillId="0" borderId="16" xfId="704" applyFont="1" applyFill="1" applyBorder="1" applyAlignment="1">
      <alignment horizontal="left" vertical="center"/>
    </xf>
    <xf numFmtId="0" fontId="4" fillId="0" borderId="17" xfId="704" applyFont="1" applyFill="1" applyBorder="1" applyAlignment="1">
      <alignment horizontal="center" vertical="center"/>
    </xf>
    <xf numFmtId="0" fontId="4" fillId="0" borderId="17" xfId="704" applyFont="1" applyFill="1" applyBorder="1" applyAlignment="1">
      <alignment horizontal="left" vertical="center"/>
    </xf>
    <xf numFmtId="0" fontId="3" fillId="0" borderId="18" xfId="704" applyFont="1" applyFill="1" applyBorder="1" applyAlignment="1">
      <alignment vertical="center"/>
    </xf>
    <xf numFmtId="0" fontId="5" fillId="24" borderId="16" xfId="704" applyFont="1" applyFill="1" applyBorder="1" applyAlignment="1">
      <alignment horizontal="centerContinuous" vertical="center"/>
    </xf>
    <xf numFmtId="0" fontId="5" fillId="24" borderId="17" xfId="704" applyFont="1" applyFill="1" applyBorder="1" applyAlignment="1">
      <alignment horizontal="centerContinuous" vertical="center"/>
    </xf>
    <xf numFmtId="0" fontId="4" fillId="24" borderId="17" xfId="704" applyFont="1" applyFill="1" applyBorder="1" applyAlignment="1">
      <alignment horizontal="centerContinuous" vertical="center"/>
    </xf>
    <xf numFmtId="0" fontId="4" fillId="24" borderId="18" xfId="704" applyFont="1" applyFill="1" applyBorder="1" applyAlignment="1">
      <alignment horizontal="centerContinuous" vertical="center"/>
    </xf>
    <xf numFmtId="0" fontId="5" fillId="0" borderId="12" xfId="704" applyFont="1" applyFill="1" applyBorder="1" applyAlignment="1">
      <alignment horizontal="center" vertical="center"/>
    </xf>
    <xf numFmtId="0" fontId="5" fillId="0" borderId="19" xfId="704" applyFont="1" applyFill="1" applyBorder="1" applyAlignment="1">
      <alignment horizontal="center" vertical="center"/>
    </xf>
    <xf numFmtId="0" fontId="3" fillId="0" borderId="13" xfId="704" applyFont="1" applyFill="1" applyBorder="1" applyAlignment="1">
      <alignment horizontal="left" vertical="center"/>
    </xf>
    <xf numFmtId="0" fontId="13" fillId="0" borderId="14" xfId="704" applyFont="1" applyFill="1" applyBorder="1" applyAlignment="1">
      <alignment horizontal="center" vertical="center"/>
    </xf>
    <xf numFmtId="0" fontId="4" fillId="0" borderId="14" xfId="704" applyFont="1" applyFill="1" applyBorder="1" applyAlignment="1">
      <alignment horizontal="center" vertical="center"/>
    </xf>
    <xf numFmtId="0" fontId="3" fillId="0" borderId="14" xfId="704" applyFont="1" applyFill="1" applyBorder="1" applyAlignment="1">
      <alignment vertical="center"/>
    </xf>
    <xf numFmtId="0" fontId="5" fillId="0" borderId="14" xfId="704" applyFont="1" applyFill="1" applyBorder="1" applyAlignment="1">
      <alignment horizontal="center" vertical="center"/>
    </xf>
    <xf numFmtId="0" fontId="5" fillId="0" borderId="20" xfId="704" applyFont="1" applyFill="1" applyBorder="1" applyAlignment="1">
      <alignment horizontal="center" vertical="center"/>
    </xf>
    <xf numFmtId="0" fontId="70" fillId="0" borderId="15" xfId="1" applyFont="1" applyFill="1" applyBorder="1" applyAlignment="1">
      <alignment vertical="center"/>
    </xf>
    <xf numFmtId="0" fontId="4" fillId="0" borderId="37" xfId="704" applyFont="1" applyFill="1" applyBorder="1" applyAlignment="1">
      <alignment horizontal="centerContinuous" vertical="center"/>
    </xf>
    <xf numFmtId="0" fontId="4" fillId="0" borderId="38" xfId="704" applyFont="1" applyFill="1" applyBorder="1" applyAlignment="1">
      <alignment horizontal="centerContinuous" vertical="center"/>
    </xf>
    <xf numFmtId="0" fontId="4" fillId="0" borderId="39" xfId="704" applyFont="1" applyFill="1" applyBorder="1" applyAlignment="1">
      <alignment horizontal="centerContinuous" vertical="center"/>
    </xf>
    <xf numFmtId="0" fontId="11" fillId="0" borderId="0" xfId="702" applyFont="1" applyFill="1" applyBorder="1" applyAlignment="1">
      <alignment vertical="center"/>
    </xf>
    <xf numFmtId="0" fontId="74" fillId="0" borderId="0" xfId="702" applyFont="1" applyBorder="1" applyAlignment="1">
      <alignment vertical="center"/>
    </xf>
    <xf numFmtId="0" fontId="75" fillId="0" borderId="0" xfId="702" applyFont="1" applyBorder="1" applyAlignment="1">
      <alignment vertical="center"/>
    </xf>
    <xf numFmtId="0" fontId="76" fillId="0" borderId="0" xfId="702" applyFont="1" applyBorder="1" applyAlignment="1">
      <alignment vertical="center"/>
    </xf>
    <xf numFmtId="0" fontId="76" fillId="0" borderId="0" xfId="702" applyFont="1" applyBorder="1" applyAlignment="1">
      <alignment horizontal="left" vertical="center" wrapText="1"/>
    </xf>
    <xf numFmtId="0" fontId="74" fillId="0" borderId="0" xfId="702" applyFont="1" applyAlignment="1">
      <alignment vertical="center"/>
    </xf>
    <xf numFmtId="0" fontId="75" fillId="0" borderId="0" xfId="0" applyFont="1"/>
    <xf numFmtId="0" fontId="75" fillId="0" borderId="0" xfId="0" applyFont="1" applyBorder="1"/>
    <xf numFmtId="0" fontId="75" fillId="0" borderId="0" xfId="0" applyFont="1" applyFill="1" applyBorder="1"/>
    <xf numFmtId="0" fontId="75" fillId="0" borderId="0" xfId="0" applyFont="1" applyAlignment="1">
      <alignment vertical="center"/>
    </xf>
    <xf numFmtId="0" fontId="75" fillId="0" borderId="0" xfId="702" applyFont="1" applyFill="1" applyBorder="1" applyAlignment="1">
      <alignment horizontal="center" vertical="center"/>
    </xf>
    <xf numFmtId="49" fontId="75" fillId="0" borderId="0" xfId="702" applyNumberFormat="1" applyFont="1" applyFill="1" applyBorder="1" applyAlignment="1">
      <alignment horizontal="center" vertical="center"/>
    </xf>
    <xf numFmtId="0" fontId="75" fillId="0" borderId="0" xfId="702" applyFont="1" applyFill="1" applyBorder="1" applyAlignment="1">
      <alignment vertical="center"/>
    </xf>
    <xf numFmtId="0" fontId="75" fillId="0" borderId="0" xfId="702" applyFont="1" applyFill="1" applyBorder="1" applyAlignment="1">
      <alignment horizontal="center" vertical="center" textRotation="255"/>
    </xf>
    <xf numFmtId="0" fontId="67" fillId="0" borderId="0" xfId="1" applyFont="1" applyBorder="1" applyAlignment="1">
      <alignment horizontal="left" vertical="top" wrapText="1"/>
    </xf>
    <xf numFmtId="179" fontId="15" fillId="58" borderId="13" xfId="1" quotePrefix="1" applyNumberFormat="1" applyFont="1" applyFill="1" applyBorder="1" applyAlignment="1">
      <alignment horizontal="center"/>
    </xf>
    <xf numFmtId="179" fontId="15" fillId="58" borderId="20" xfId="1" applyNumberFormat="1" applyFont="1" applyFill="1" applyBorder="1" applyAlignment="1">
      <alignment horizontal="center"/>
    </xf>
    <xf numFmtId="0" fontId="77" fillId="0" borderId="15" xfId="1" applyFont="1" applyBorder="1" applyAlignment="1">
      <alignment vertical="center"/>
    </xf>
    <xf numFmtId="0" fontId="76" fillId="0" borderId="12" xfId="1" applyFont="1" applyBorder="1" applyAlignment="1">
      <alignment vertical="center"/>
    </xf>
    <xf numFmtId="0" fontId="77" fillId="0" borderId="23" xfId="1" applyFont="1" applyBorder="1" applyAlignment="1">
      <alignment vertical="center"/>
    </xf>
    <xf numFmtId="0" fontId="79" fillId="0" borderId="56" xfId="1" applyFont="1" applyBorder="1" applyAlignment="1">
      <alignment horizontal="center" vertical="center"/>
    </xf>
    <xf numFmtId="0" fontId="79" fillId="0" borderId="2" xfId="1" applyFont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76" fillId="0" borderId="13" xfId="1" applyFont="1" applyBorder="1" applyAlignment="1">
      <alignment vertical="center"/>
    </xf>
    <xf numFmtId="0" fontId="76" fillId="0" borderId="14" xfId="1" applyFont="1" applyBorder="1" applyAlignment="1">
      <alignment vertical="center"/>
    </xf>
    <xf numFmtId="0" fontId="79" fillId="0" borderId="56" xfId="1" applyFont="1" applyBorder="1" applyAlignment="1">
      <alignment vertical="center"/>
    </xf>
    <xf numFmtId="0" fontId="77" fillId="0" borderId="27" xfId="1" applyFont="1" applyFill="1" applyBorder="1" applyAlignment="1">
      <alignment horizontal="centerContinuous" vertical="center"/>
    </xf>
    <xf numFmtId="0" fontId="76" fillId="0" borderId="12" xfId="1" applyFont="1" applyFill="1" applyBorder="1" applyAlignment="1">
      <alignment horizontal="centerContinuous" vertical="center"/>
    </xf>
    <xf numFmtId="0" fontId="80" fillId="0" borderId="12" xfId="1" applyFont="1" applyFill="1" applyBorder="1" applyAlignment="1">
      <alignment horizontal="centerContinuous" vertical="center"/>
    </xf>
    <xf numFmtId="0" fontId="77" fillId="66" borderId="83" xfId="1" applyFont="1" applyFill="1" applyBorder="1" applyAlignment="1">
      <alignment horizontal="center" vertical="center"/>
    </xf>
    <xf numFmtId="0" fontId="81" fillId="0" borderId="0" xfId="704" applyFont="1" applyFill="1" applyBorder="1" applyAlignment="1">
      <alignment horizontal="center" vertical="center"/>
    </xf>
    <xf numFmtId="0" fontId="74" fillId="0" borderId="0" xfId="704" applyFont="1" applyAlignment="1">
      <alignment vertical="center"/>
    </xf>
    <xf numFmtId="0" fontId="76" fillId="0" borderId="13" xfId="1" applyFont="1" applyFill="1" applyBorder="1" applyAlignment="1">
      <alignment horizontal="centerContinuous" vertical="center"/>
    </xf>
    <xf numFmtId="0" fontId="76" fillId="0" borderId="14" xfId="1" applyFont="1" applyFill="1" applyBorder="1" applyAlignment="1">
      <alignment horizontal="centerContinuous" vertical="center"/>
    </xf>
    <xf numFmtId="0" fontId="80" fillId="0" borderId="14" xfId="1" applyFont="1" applyFill="1" applyBorder="1" applyAlignment="1">
      <alignment horizontal="centerContinuous" vertical="center"/>
    </xf>
    <xf numFmtId="0" fontId="80" fillId="0" borderId="36" xfId="1" applyFont="1" applyFill="1" applyBorder="1" applyAlignment="1">
      <alignment horizontal="center" vertical="center"/>
    </xf>
    <xf numFmtId="0" fontId="74" fillId="0" borderId="0" xfId="1" applyFont="1" applyBorder="1" applyAlignment="1">
      <alignment vertical="center"/>
    </xf>
    <xf numFmtId="0" fontId="74" fillId="0" borderId="0" xfId="1" applyFont="1" applyAlignment="1">
      <alignment vertical="center"/>
    </xf>
    <xf numFmtId="0" fontId="75" fillId="0" borderId="0" xfId="711" applyFont="1"/>
    <xf numFmtId="0" fontId="75" fillId="0" borderId="0" xfId="711" applyFont="1" applyBorder="1"/>
    <xf numFmtId="0" fontId="75" fillId="0" borderId="0" xfId="711" applyFont="1" applyAlignment="1">
      <alignment vertical="center"/>
    </xf>
    <xf numFmtId="0" fontId="75" fillId="0" borderId="0" xfId="702" applyFont="1" applyFill="1" applyBorder="1" applyAlignment="1">
      <alignment vertical="center" wrapText="1"/>
    </xf>
    <xf numFmtId="0" fontId="75" fillId="0" borderId="0" xfId="1" applyFont="1" applyFill="1" applyBorder="1" applyAlignment="1">
      <alignment vertical="center" shrinkToFit="1"/>
    </xf>
    <xf numFmtId="0" fontId="75" fillId="0" borderId="0" xfId="702" quotePrefix="1" applyFont="1" applyFill="1" applyBorder="1" applyAlignment="1">
      <alignment horizontal="center" vertical="center"/>
    </xf>
    <xf numFmtId="0" fontId="75" fillId="0" borderId="0" xfId="1" applyFont="1" applyFill="1" applyBorder="1" applyAlignment="1">
      <alignment horizontal="center" vertical="center" wrapText="1" shrinkToFit="1"/>
    </xf>
    <xf numFmtId="0" fontId="75" fillId="0" borderId="0" xfId="1" applyFont="1" applyFill="1" applyBorder="1" applyAlignment="1">
      <alignment horizontal="left" vertical="center" wrapText="1" shrinkToFit="1"/>
    </xf>
    <xf numFmtId="0" fontId="74" fillId="0" borderId="0" xfId="711" applyFont="1" applyAlignment="1">
      <alignment vertical="center"/>
    </xf>
    <xf numFmtId="0" fontId="75" fillId="0" borderId="0" xfId="1" applyFont="1" applyFill="1" applyBorder="1" applyAlignment="1">
      <alignment horizontal="center" vertical="center" shrinkToFit="1"/>
    </xf>
    <xf numFmtId="179" fontId="75" fillId="0" borderId="0" xfId="702" applyNumberFormat="1" applyFont="1" applyFill="1" applyBorder="1" applyAlignment="1">
      <alignment horizontal="center" vertical="center" wrapText="1"/>
    </xf>
    <xf numFmtId="181" fontId="75" fillId="0" borderId="0" xfId="702" applyNumberFormat="1" applyFont="1" applyFill="1" applyBorder="1" applyAlignment="1">
      <alignment horizontal="center" vertical="center"/>
    </xf>
    <xf numFmtId="0" fontId="75" fillId="0" borderId="0" xfId="702" applyFont="1" applyBorder="1" applyAlignment="1">
      <alignment horizontal="left" vertical="center"/>
    </xf>
    <xf numFmtId="0" fontId="82" fillId="65" borderId="28" xfId="702" applyFont="1" applyFill="1" applyBorder="1" applyAlignment="1">
      <alignment vertical="center" wrapText="1"/>
    </xf>
    <xf numFmtId="0" fontId="75" fillId="65" borderId="28" xfId="702" applyFont="1" applyFill="1" applyBorder="1" applyAlignment="1">
      <alignment vertical="center" wrapText="1"/>
    </xf>
    <xf numFmtId="49" fontId="75" fillId="0" borderId="28" xfId="1" quotePrefix="1" applyNumberFormat="1" applyFont="1" applyFill="1" applyBorder="1" applyAlignment="1">
      <alignment vertical="center" shrinkToFit="1"/>
    </xf>
    <xf numFmtId="49" fontId="75" fillId="0" borderId="28" xfId="1" quotePrefix="1" applyNumberFormat="1" applyFont="1" applyFill="1" applyBorder="1" applyAlignment="1">
      <alignment vertical="center" wrapText="1" shrinkToFit="1"/>
    </xf>
    <xf numFmtId="49" fontId="75" fillId="66" borderId="28" xfId="1" quotePrefix="1" applyNumberFormat="1" applyFont="1" applyFill="1" applyBorder="1" applyAlignment="1">
      <alignment vertical="center" shrinkToFit="1"/>
    </xf>
    <xf numFmtId="49" fontId="75" fillId="66" borderId="28" xfId="1" quotePrefix="1" applyNumberFormat="1" applyFont="1" applyFill="1" applyBorder="1" applyAlignment="1">
      <alignment vertical="center" wrapText="1" shrinkToFit="1"/>
    </xf>
    <xf numFmtId="0" fontId="75" fillId="0" borderId="24" xfId="702" quotePrefix="1" applyFont="1" applyFill="1" applyBorder="1" applyAlignment="1">
      <alignment horizontal="center" vertical="center"/>
    </xf>
    <xf numFmtId="0" fontId="75" fillId="0" borderId="28" xfId="702" quotePrefix="1" applyFont="1" applyFill="1" applyBorder="1" applyAlignment="1">
      <alignment horizontal="center" vertical="center"/>
    </xf>
    <xf numFmtId="49" fontId="75" fillId="0" borderId="24" xfId="702" quotePrefix="1" applyNumberFormat="1" applyFont="1" applyFill="1" applyBorder="1" applyAlignment="1">
      <alignment horizontal="center" vertical="center"/>
    </xf>
    <xf numFmtId="0" fontId="75" fillId="0" borderId="45" xfId="702" quotePrefix="1" applyFont="1" applyFill="1" applyBorder="1" applyAlignment="1">
      <alignment horizontal="center" vertical="center"/>
    </xf>
    <xf numFmtId="0" fontId="8" fillId="0" borderId="23" xfId="1" applyFont="1" applyBorder="1" applyAlignment="1">
      <alignment shrinkToFit="1"/>
    </xf>
    <xf numFmtId="0" fontId="8" fillId="0" borderId="2" xfId="1" applyFont="1" applyBorder="1" applyAlignment="1">
      <alignment shrinkToFit="1"/>
    </xf>
    <xf numFmtId="0" fontId="8" fillId="0" borderId="24" xfId="1" applyFont="1" applyBorder="1" applyAlignment="1">
      <alignment shrinkToFit="1"/>
    </xf>
    <xf numFmtId="0" fontId="11" fillId="0" borderId="15" xfId="1" applyFont="1" applyFill="1" applyBorder="1" applyAlignment="1">
      <alignment horizontal="left" vertical="center" wrapText="1"/>
    </xf>
    <xf numFmtId="0" fontId="28" fillId="0" borderId="12" xfId="1" applyFont="1" applyFill="1" applyBorder="1" applyAlignment="1">
      <alignment horizontal="left" vertical="center" wrapText="1"/>
    </xf>
    <xf numFmtId="0" fontId="28" fillId="0" borderId="19" xfId="1" applyFont="1" applyFill="1" applyBorder="1" applyAlignment="1">
      <alignment horizontal="left" vertical="center" wrapText="1"/>
    </xf>
    <xf numFmtId="0" fontId="28" fillId="0" borderId="21" xfId="1" applyFont="1" applyFill="1" applyBorder="1" applyAlignment="1">
      <alignment horizontal="left" vertical="center" wrapText="1"/>
    </xf>
    <xf numFmtId="0" fontId="28" fillId="0" borderId="0" xfId="1" applyFont="1" applyFill="1" applyAlignment="1">
      <alignment horizontal="left" vertical="center" wrapText="1"/>
    </xf>
    <xf numFmtId="0" fontId="28" fillId="0" borderId="22" xfId="1" applyFont="1" applyFill="1" applyBorder="1" applyAlignment="1">
      <alignment horizontal="left" vertical="center" wrapText="1"/>
    </xf>
    <xf numFmtId="0" fontId="28" fillId="0" borderId="13" xfId="1" applyFont="1" applyFill="1" applyBorder="1" applyAlignment="1">
      <alignment horizontal="left" vertical="center" wrapText="1"/>
    </xf>
    <xf numFmtId="0" fontId="28" fillId="0" borderId="14" xfId="1" applyFont="1" applyFill="1" applyBorder="1" applyAlignment="1">
      <alignment horizontal="left" vertical="center" wrapText="1"/>
    </xf>
    <xf numFmtId="0" fontId="28" fillId="0" borderId="20" xfId="1" applyFont="1" applyFill="1" applyBorder="1" applyAlignment="1">
      <alignment horizontal="left" vertical="center" wrapText="1"/>
    </xf>
    <xf numFmtId="0" fontId="67" fillId="0" borderId="21" xfId="1" applyFont="1" applyFill="1" applyBorder="1" applyAlignment="1">
      <alignment horizontal="center" vertical="center" wrapText="1"/>
    </xf>
    <xf numFmtId="0" fontId="28" fillId="0" borderId="0" xfId="1" applyFont="1" applyFill="1" applyAlignment="1">
      <alignment horizontal="center" vertical="center" wrapText="1"/>
    </xf>
    <xf numFmtId="0" fontId="28" fillId="0" borderId="22" xfId="1" applyFont="1" applyFill="1" applyBorder="1" applyAlignment="1">
      <alignment horizontal="center" vertical="center" wrapText="1"/>
    </xf>
    <xf numFmtId="0" fontId="28" fillId="0" borderId="13" xfId="1" applyFont="1" applyFill="1" applyBorder="1" applyAlignment="1">
      <alignment horizontal="center" vertical="center" wrapText="1"/>
    </xf>
    <xf numFmtId="0" fontId="28" fillId="0" borderId="14" xfId="1" applyFont="1" applyFill="1" applyBorder="1" applyAlignment="1">
      <alignment horizontal="center" vertical="center" wrapText="1"/>
    </xf>
    <xf numFmtId="0" fontId="28" fillId="0" borderId="20" xfId="1" applyFont="1" applyFill="1" applyBorder="1" applyAlignment="1">
      <alignment horizontal="center" vertical="center" wrapText="1"/>
    </xf>
    <xf numFmtId="0" fontId="11" fillId="0" borderId="15" xfId="1" applyFont="1" applyFill="1" applyBorder="1" applyAlignment="1">
      <alignment horizontal="center" vertical="center" wrapText="1"/>
    </xf>
    <xf numFmtId="0" fontId="28" fillId="0" borderId="12" xfId="1" applyFont="1" applyFill="1" applyBorder="1" applyAlignment="1">
      <alignment horizontal="center" vertical="center" wrapText="1"/>
    </xf>
    <xf numFmtId="0" fontId="28" fillId="0" borderId="19" xfId="1" applyFont="1" applyFill="1" applyBorder="1" applyAlignment="1">
      <alignment horizontal="center" vertical="center" wrapText="1"/>
    </xf>
    <xf numFmtId="0" fontId="28" fillId="0" borderId="21" xfId="1" applyFont="1" applyFill="1" applyBorder="1" applyAlignment="1">
      <alignment horizontal="center" vertical="center" wrapText="1"/>
    </xf>
    <xf numFmtId="0" fontId="11" fillId="0" borderId="12" xfId="1" applyFont="1" applyFill="1" applyBorder="1" applyAlignment="1">
      <alignment horizontal="center" vertical="center" wrapText="1"/>
    </xf>
    <xf numFmtId="49" fontId="11" fillId="0" borderId="15" xfId="1" applyNumberFormat="1" applyFont="1" applyBorder="1" applyAlignment="1">
      <alignment horizontal="center" vertical="center" wrapText="1"/>
    </xf>
    <xf numFmtId="0" fontId="28" fillId="0" borderId="19" xfId="1" applyFont="1" applyBorder="1" applyAlignment="1">
      <alignment horizontal="center" vertical="center" wrapText="1"/>
    </xf>
    <xf numFmtId="0" fontId="28" fillId="0" borderId="21" xfId="1" applyFont="1" applyBorder="1" applyAlignment="1">
      <alignment horizontal="center" vertical="center" wrapText="1"/>
    </xf>
    <xf numFmtId="0" fontId="28" fillId="0" borderId="22" xfId="1" applyFont="1" applyBorder="1" applyAlignment="1">
      <alignment horizontal="center" vertical="center" wrapText="1"/>
    </xf>
    <xf numFmtId="0" fontId="28" fillId="0" borderId="13" xfId="1" applyFont="1" applyBorder="1" applyAlignment="1">
      <alignment horizontal="center" vertical="center" wrapText="1"/>
    </xf>
    <xf numFmtId="0" fontId="28" fillId="0" borderId="20" xfId="1" applyFont="1" applyBorder="1" applyAlignment="1">
      <alignment horizontal="center" vertical="center" wrapText="1"/>
    </xf>
    <xf numFmtId="0" fontId="28" fillId="0" borderId="15" xfId="1" applyFont="1" applyFill="1" applyBorder="1" applyAlignment="1">
      <alignment horizontal="left" vertical="center" wrapText="1"/>
    </xf>
    <xf numFmtId="0" fontId="11" fillId="0" borderId="21" xfId="1" applyFont="1" applyFill="1" applyBorder="1" applyAlignment="1">
      <alignment vertical="center" wrapText="1"/>
    </xf>
    <xf numFmtId="0" fontId="28" fillId="0" borderId="0" xfId="1" applyFont="1" applyFill="1" applyAlignment="1">
      <alignment vertical="center" wrapText="1"/>
    </xf>
    <xf numFmtId="0" fontId="28" fillId="0" borderId="22" xfId="1" applyFont="1" applyFill="1" applyBorder="1" applyAlignment="1">
      <alignment vertical="center" wrapText="1"/>
    </xf>
    <xf numFmtId="0" fontId="28" fillId="0" borderId="13" xfId="1" applyFont="1" applyFill="1" applyBorder="1" applyAlignment="1">
      <alignment vertical="center" wrapText="1"/>
    </xf>
    <xf numFmtId="0" fontId="28" fillId="0" borderId="14" xfId="1" applyFont="1" applyFill="1" applyBorder="1" applyAlignment="1">
      <alignment vertical="center" wrapText="1"/>
    </xf>
    <xf numFmtId="0" fontId="28" fillId="0" borderId="20" xfId="1" applyFont="1" applyFill="1" applyBorder="1" applyAlignment="1">
      <alignment vertical="center" wrapText="1"/>
    </xf>
    <xf numFmtId="0" fontId="11" fillId="0" borderId="19" xfId="1" applyFont="1" applyFill="1" applyBorder="1" applyAlignment="1">
      <alignment horizontal="center" vertical="center" wrapText="1"/>
    </xf>
    <xf numFmtId="0" fontId="11" fillId="0" borderId="21" xfId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horizontal="center" vertical="center" wrapText="1"/>
    </xf>
    <xf numFmtId="0" fontId="11" fillId="0" borderId="22" xfId="1" applyFont="1" applyFill="1" applyBorder="1" applyAlignment="1">
      <alignment horizontal="center" vertical="center" wrapText="1"/>
    </xf>
    <xf numFmtId="0" fontId="11" fillId="0" borderId="13" xfId="1" applyFont="1" applyFill="1" applyBorder="1" applyAlignment="1">
      <alignment horizontal="center" vertical="center" wrapText="1"/>
    </xf>
    <xf numFmtId="0" fontId="11" fillId="0" borderId="14" xfId="1" applyFont="1" applyFill="1" applyBorder="1" applyAlignment="1">
      <alignment horizontal="center" vertical="center" wrapText="1"/>
    </xf>
    <xf numFmtId="0" fontId="11" fillId="0" borderId="20" xfId="1" applyFont="1" applyFill="1" applyBorder="1" applyAlignment="1">
      <alignment horizontal="center" vertical="center" wrapText="1"/>
    </xf>
    <xf numFmtId="0" fontId="67" fillId="0" borderId="0" xfId="1" applyFont="1" applyFill="1" applyBorder="1" applyAlignment="1">
      <alignment horizontal="center" vertical="center" wrapText="1"/>
    </xf>
    <xf numFmtId="0" fontId="67" fillId="0" borderId="22" xfId="1" applyFont="1" applyFill="1" applyBorder="1" applyAlignment="1">
      <alignment horizontal="center" vertical="center" wrapText="1"/>
    </xf>
    <xf numFmtId="0" fontId="67" fillId="0" borderId="13" xfId="1" applyFont="1" applyFill="1" applyBorder="1" applyAlignment="1">
      <alignment horizontal="center" vertical="center" wrapText="1"/>
    </xf>
    <xf numFmtId="0" fontId="67" fillId="0" borderId="14" xfId="1" applyFont="1" applyFill="1" applyBorder="1" applyAlignment="1">
      <alignment horizontal="center" vertical="center" wrapText="1"/>
    </xf>
    <xf numFmtId="0" fontId="67" fillId="0" borderId="20" xfId="1" applyFont="1" applyFill="1" applyBorder="1" applyAlignment="1">
      <alignment horizontal="center" vertical="center" wrapText="1"/>
    </xf>
    <xf numFmtId="0" fontId="11" fillId="0" borderId="15" xfId="1" quotePrefix="1" applyFont="1" applyFill="1" applyBorder="1" applyAlignment="1">
      <alignment horizontal="center" vertical="center" wrapText="1"/>
    </xf>
    <xf numFmtId="0" fontId="11" fillId="0" borderId="12" xfId="1" quotePrefix="1" applyFont="1" applyFill="1" applyBorder="1" applyAlignment="1">
      <alignment horizontal="center" vertical="center" wrapText="1"/>
    </xf>
    <xf numFmtId="0" fontId="11" fillId="0" borderId="19" xfId="1" quotePrefix="1" applyFont="1" applyFill="1" applyBorder="1" applyAlignment="1">
      <alignment horizontal="center" vertical="center" wrapText="1"/>
    </xf>
    <xf numFmtId="0" fontId="11" fillId="0" borderId="21" xfId="1" quotePrefix="1" applyFont="1" applyFill="1" applyBorder="1" applyAlignment="1">
      <alignment horizontal="center" vertical="center" wrapText="1"/>
    </xf>
    <xf numFmtId="0" fontId="11" fillId="0" borderId="0" xfId="1" quotePrefix="1" applyFont="1" applyFill="1" applyBorder="1" applyAlignment="1">
      <alignment horizontal="center" vertical="center" wrapText="1"/>
    </xf>
    <xf numFmtId="0" fontId="11" fillId="0" borderId="22" xfId="1" quotePrefix="1" applyFont="1" applyFill="1" applyBorder="1" applyAlignment="1">
      <alignment horizontal="center" vertical="center" wrapText="1"/>
    </xf>
    <xf numFmtId="0" fontId="11" fillId="0" borderId="13" xfId="1" quotePrefix="1" applyFont="1" applyFill="1" applyBorder="1" applyAlignment="1">
      <alignment horizontal="center" vertical="center" wrapText="1"/>
    </xf>
    <xf numFmtId="0" fontId="11" fillId="0" borderId="14" xfId="1" quotePrefix="1" applyFont="1" applyFill="1" applyBorder="1" applyAlignment="1">
      <alignment horizontal="center" vertical="center" wrapText="1"/>
    </xf>
    <xf numFmtId="0" fontId="11" fillId="0" borderId="20" xfId="1" quotePrefix="1" applyFont="1" applyFill="1" applyBorder="1" applyAlignment="1">
      <alignment horizontal="center" vertical="center" wrapText="1"/>
    </xf>
    <xf numFmtId="0" fontId="11" fillId="0" borderId="0" xfId="1" applyFont="1" applyFill="1" applyBorder="1" applyAlignment="1">
      <alignment vertical="center" wrapText="1"/>
    </xf>
    <xf numFmtId="0" fontId="11" fillId="0" borderId="22" xfId="1" applyFont="1" applyFill="1" applyBorder="1" applyAlignment="1">
      <alignment vertical="center" wrapText="1"/>
    </xf>
    <xf numFmtId="0" fontId="11" fillId="0" borderId="13" xfId="1" applyFont="1" applyFill="1" applyBorder="1" applyAlignment="1">
      <alignment vertical="center" wrapText="1"/>
    </xf>
    <xf numFmtId="0" fontId="11" fillId="0" borderId="14" xfId="1" applyFont="1" applyFill="1" applyBorder="1" applyAlignment="1">
      <alignment vertical="center" wrapText="1"/>
    </xf>
    <xf numFmtId="0" fontId="11" fillId="0" borderId="20" xfId="1" applyFont="1" applyFill="1" applyBorder="1" applyAlignment="1">
      <alignment vertical="center" wrapText="1"/>
    </xf>
    <xf numFmtId="49" fontId="11" fillId="0" borderId="19" xfId="1" applyNumberFormat="1" applyFont="1" applyBorder="1" applyAlignment="1">
      <alignment horizontal="center" vertical="center" wrapText="1"/>
    </xf>
    <xf numFmtId="49" fontId="11" fillId="0" borderId="21" xfId="1" applyNumberFormat="1" applyFont="1" applyBorder="1" applyAlignment="1">
      <alignment horizontal="center" vertical="center" wrapText="1"/>
    </xf>
    <xf numFmtId="49" fontId="11" fillId="0" borderId="22" xfId="1" applyNumberFormat="1" applyFont="1" applyBorder="1" applyAlignment="1">
      <alignment horizontal="center" vertical="center" wrapText="1"/>
    </xf>
    <xf numFmtId="49" fontId="11" fillId="0" borderId="13" xfId="1" applyNumberFormat="1" applyFont="1" applyBorder="1" applyAlignment="1">
      <alignment horizontal="center" vertical="center" wrapText="1"/>
    </xf>
    <xf numFmtId="49" fontId="11" fillId="0" borderId="20" xfId="1" applyNumberFormat="1" applyFont="1" applyBorder="1" applyAlignment="1">
      <alignment horizontal="center" vertical="center" wrapText="1"/>
    </xf>
    <xf numFmtId="0" fontId="28" fillId="0" borderId="0" xfId="1" applyFont="1" applyFill="1" applyBorder="1" applyAlignment="1">
      <alignment horizontal="left" vertical="center" wrapText="1"/>
    </xf>
    <xf numFmtId="0" fontId="11" fillId="0" borderId="15" xfId="1" applyFont="1" applyFill="1" applyBorder="1" applyAlignment="1">
      <alignment horizontal="center" vertical="center"/>
    </xf>
    <xf numFmtId="0" fontId="11" fillId="0" borderId="12" xfId="1" applyFont="1" applyFill="1" applyBorder="1" applyAlignment="1">
      <alignment horizontal="center" vertical="center"/>
    </xf>
    <xf numFmtId="0" fontId="11" fillId="24" borderId="15" xfId="1" applyFont="1" applyFill="1" applyBorder="1" applyAlignment="1">
      <alignment horizontal="center" vertical="center" wrapText="1"/>
    </xf>
    <xf numFmtId="0" fontId="28" fillId="0" borderId="12" xfId="1" applyFont="1" applyBorder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28" fillId="0" borderId="14" xfId="1" applyFont="1" applyBorder="1" applyAlignment="1">
      <alignment horizontal="center" vertical="center" wrapText="1"/>
    </xf>
    <xf numFmtId="0" fontId="67" fillId="0" borderId="21" xfId="703" applyFont="1" applyFill="1" applyBorder="1" applyAlignment="1">
      <alignment horizontal="center" vertical="center" wrapText="1"/>
    </xf>
    <xf numFmtId="0" fontId="28" fillId="0" borderId="0" xfId="703" applyFont="1" applyFill="1" applyAlignment="1">
      <alignment horizontal="center" vertical="center" wrapText="1"/>
    </xf>
    <xf numFmtId="0" fontId="28" fillId="0" borderId="22" xfId="703" applyFont="1" applyFill="1" applyBorder="1" applyAlignment="1">
      <alignment horizontal="center" vertical="center" wrapText="1"/>
    </xf>
    <xf numFmtId="0" fontId="28" fillId="0" borderId="13" xfId="703" applyFont="1" applyFill="1" applyBorder="1" applyAlignment="1">
      <alignment horizontal="center" vertical="center" wrapText="1"/>
    </xf>
    <xf numFmtId="0" fontId="28" fillId="0" borderId="14" xfId="703" applyFont="1" applyFill="1" applyBorder="1" applyAlignment="1">
      <alignment horizontal="center" vertical="center" wrapText="1"/>
    </xf>
    <xf numFmtId="0" fontId="28" fillId="0" borderId="20" xfId="703" applyFont="1" applyFill="1" applyBorder="1" applyAlignment="1">
      <alignment horizontal="center" vertical="center" wrapText="1"/>
    </xf>
    <xf numFmtId="0" fontId="11" fillId="0" borderId="12" xfId="1" applyFont="1" applyFill="1" applyBorder="1" applyAlignment="1">
      <alignment horizontal="left" vertical="center" wrapText="1"/>
    </xf>
    <xf numFmtId="0" fontId="11" fillId="0" borderId="19" xfId="1" applyFont="1" applyFill="1" applyBorder="1" applyAlignment="1">
      <alignment horizontal="left" vertical="center" wrapText="1"/>
    </xf>
    <xf numFmtId="0" fontId="11" fillId="0" borderId="21" xfId="1" applyFont="1" applyFill="1" applyBorder="1" applyAlignment="1">
      <alignment horizontal="left" vertical="center" wrapText="1"/>
    </xf>
    <xf numFmtId="0" fontId="11" fillId="0" borderId="0" xfId="1" applyFont="1" applyFill="1" applyBorder="1" applyAlignment="1">
      <alignment horizontal="left" vertical="center" wrapText="1"/>
    </xf>
    <xf numFmtId="0" fontId="11" fillId="0" borderId="22" xfId="1" applyFont="1" applyFill="1" applyBorder="1" applyAlignment="1">
      <alignment horizontal="left" vertical="center" wrapText="1"/>
    </xf>
    <xf numFmtId="0" fontId="11" fillId="0" borderId="13" xfId="1" applyFont="1" applyFill="1" applyBorder="1" applyAlignment="1">
      <alignment horizontal="left" vertical="center" wrapText="1"/>
    </xf>
    <xf numFmtId="0" fontId="11" fillId="0" borderId="14" xfId="1" applyFont="1" applyFill="1" applyBorder="1" applyAlignment="1">
      <alignment horizontal="left" vertical="center" wrapText="1"/>
    </xf>
    <xf numFmtId="0" fontId="11" fillId="0" borderId="20" xfId="1" applyFont="1" applyFill="1" applyBorder="1" applyAlignment="1">
      <alignment horizontal="left" vertical="center" wrapText="1"/>
    </xf>
    <xf numFmtId="56" fontId="11" fillId="0" borderId="15" xfId="703" applyNumberFormat="1" applyFont="1" applyFill="1" applyBorder="1" applyAlignment="1">
      <alignment horizontal="center" vertical="center" wrapText="1"/>
    </xf>
    <xf numFmtId="0" fontId="28" fillId="0" borderId="12" xfId="703" applyFont="1" applyFill="1" applyBorder="1" applyAlignment="1">
      <alignment horizontal="center" vertical="center" wrapText="1"/>
    </xf>
    <xf numFmtId="0" fontId="28" fillId="0" borderId="19" xfId="703" applyFont="1" applyFill="1" applyBorder="1" applyAlignment="1">
      <alignment horizontal="center" vertical="center" wrapText="1"/>
    </xf>
    <xf numFmtId="0" fontId="28" fillId="0" borderId="21" xfId="703" applyFont="1" applyFill="1" applyBorder="1" applyAlignment="1">
      <alignment horizontal="center" vertical="center" wrapText="1"/>
    </xf>
    <xf numFmtId="0" fontId="11" fillId="24" borderId="15" xfId="1" applyFont="1" applyFill="1" applyBorder="1" applyAlignment="1">
      <alignment horizontal="center" vertical="center"/>
    </xf>
    <xf numFmtId="0" fontId="11" fillId="24" borderId="19" xfId="1" applyFont="1" applyFill="1" applyBorder="1" applyAlignment="1">
      <alignment horizontal="center" vertical="center"/>
    </xf>
    <xf numFmtId="0" fontId="11" fillId="24" borderId="21" xfId="1" applyFont="1" applyFill="1" applyBorder="1" applyAlignment="1">
      <alignment horizontal="center" vertical="center"/>
    </xf>
    <xf numFmtId="0" fontId="11" fillId="24" borderId="22" xfId="1" applyFont="1" applyFill="1" applyBorder="1" applyAlignment="1">
      <alignment horizontal="center" vertical="center"/>
    </xf>
    <xf numFmtId="0" fontId="11" fillId="24" borderId="13" xfId="1" applyFont="1" applyFill="1" applyBorder="1" applyAlignment="1">
      <alignment horizontal="center" vertical="center"/>
    </xf>
    <xf numFmtId="0" fontId="11" fillId="24" borderId="20" xfId="1" applyFont="1" applyFill="1" applyBorder="1" applyAlignment="1">
      <alignment horizontal="center" vertical="center"/>
    </xf>
    <xf numFmtId="176" fontId="11" fillId="0" borderId="15" xfId="1" applyNumberFormat="1" applyFont="1" applyFill="1" applyBorder="1" applyAlignment="1">
      <alignment horizontal="center" vertical="center" wrapText="1"/>
    </xf>
    <xf numFmtId="176" fontId="11" fillId="0" borderId="12" xfId="1" applyNumberFormat="1" applyFont="1" applyFill="1" applyBorder="1" applyAlignment="1">
      <alignment horizontal="center" vertical="center" wrapText="1"/>
    </xf>
    <xf numFmtId="176" fontId="11" fillId="0" borderId="19" xfId="1" applyNumberFormat="1" applyFont="1" applyFill="1" applyBorder="1" applyAlignment="1">
      <alignment horizontal="center" vertical="center" wrapText="1"/>
    </xf>
    <xf numFmtId="176" fontId="11" fillId="0" borderId="21" xfId="1" applyNumberFormat="1" applyFont="1" applyFill="1" applyBorder="1" applyAlignment="1">
      <alignment horizontal="center" vertical="center" wrapText="1"/>
    </xf>
    <xf numFmtId="176" fontId="11" fillId="0" borderId="0" xfId="1" applyNumberFormat="1" applyFont="1" applyFill="1" applyBorder="1" applyAlignment="1">
      <alignment horizontal="center" vertical="center" wrapText="1"/>
    </xf>
    <xf numFmtId="176" fontId="11" fillId="0" borderId="22" xfId="1" applyNumberFormat="1" applyFont="1" applyFill="1" applyBorder="1" applyAlignment="1">
      <alignment horizontal="center" vertical="center" wrapText="1"/>
    </xf>
    <xf numFmtId="176" fontId="11" fillId="0" borderId="13" xfId="1" applyNumberFormat="1" applyFont="1" applyFill="1" applyBorder="1" applyAlignment="1">
      <alignment horizontal="center" vertical="center" wrapText="1"/>
    </xf>
    <xf numFmtId="176" fontId="11" fillId="0" borderId="14" xfId="1" applyNumberFormat="1" applyFont="1" applyFill="1" applyBorder="1" applyAlignment="1">
      <alignment horizontal="center" vertical="center" wrapText="1"/>
    </xf>
    <xf numFmtId="176" fontId="11" fillId="0" borderId="20" xfId="1" applyNumberFormat="1" applyFont="1" applyFill="1" applyBorder="1" applyAlignment="1">
      <alignment horizontal="center" vertical="center" wrapText="1"/>
    </xf>
    <xf numFmtId="0" fontId="11" fillId="0" borderId="21" xfId="1" applyFont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11" fillId="0" borderId="22" xfId="1" applyFont="1" applyBorder="1" applyAlignment="1">
      <alignment vertical="center" wrapText="1"/>
    </xf>
    <xf numFmtId="0" fontId="11" fillId="0" borderId="13" xfId="1" applyFont="1" applyBorder="1" applyAlignment="1">
      <alignment vertical="center" wrapText="1"/>
    </xf>
    <xf numFmtId="0" fontId="11" fillId="0" borderId="14" xfId="1" applyFont="1" applyBorder="1" applyAlignment="1">
      <alignment vertical="center" wrapText="1"/>
    </xf>
    <xf numFmtId="0" fontId="11" fillId="0" borderId="20" xfId="1" applyFont="1" applyBorder="1" applyAlignment="1">
      <alignment vertical="center" wrapText="1"/>
    </xf>
    <xf numFmtId="49" fontId="11" fillId="0" borderId="15" xfId="703" applyNumberFormat="1" applyFont="1" applyFill="1" applyBorder="1" applyAlignment="1">
      <alignment horizontal="center" vertical="center" wrapText="1"/>
    </xf>
    <xf numFmtId="0" fontId="28" fillId="0" borderId="0" xfId="1" applyFont="1" applyAlignment="1">
      <alignment vertical="center" wrapText="1"/>
    </xf>
    <xf numFmtId="0" fontId="28" fillId="0" borderId="22" xfId="1" applyFont="1" applyBorder="1" applyAlignment="1">
      <alignment vertical="center" wrapText="1"/>
    </xf>
    <xf numFmtId="0" fontId="28" fillId="0" borderId="13" xfId="1" applyFont="1" applyBorder="1" applyAlignment="1">
      <alignment vertical="center" wrapText="1"/>
    </xf>
    <xf numFmtId="0" fontId="28" fillId="0" borderId="14" xfId="1" applyFont="1" applyBorder="1" applyAlignment="1">
      <alignment vertical="center" wrapText="1"/>
    </xf>
    <xf numFmtId="0" fontId="28" fillId="0" borderId="20" xfId="1" applyFont="1" applyBorder="1" applyAlignment="1">
      <alignment vertical="center" wrapText="1"/>
    </xf>
    <xf numFmtId="0" fontId="28" fillId="0" borderId="15" xfId="703" applyFont="1" applyFill="1" applyBorder="1" applyAlignment="1">
      <alignment horizontal="left" vertical="center" wrapText="1"/>
    </xf>
    <xf numFmtId="0" fontId="28" fillId="0" borderId="12" xfId="703" applyFont="1" applyFill="1" applyBorder="1" applyAlignment="1">
      <alignment horizontal="left" vertical="center" wrapText="1"/>
    </xf>
    <xf numFmtId="0" fontId="28" fillId="0" borderId="19" xfId="703" applyFont="1" applyFill="1" applyBorder="1" applyAlignment="1">
      <alignment horizontal="left" vertical="center" wrapText="1"/>
    </xf>
    <xf numFmtId="0" fontId="28" fillId="0" borderId="21" xfId="703" applyFont="1" applyFill="1" applyBorder="1" applyAlignment="1">
      <alignment horizontal="left" vertical="center" wrapText="1"/>
    </xf>
    <xf numFmtId="0" fontId="28" fillId="0" borderId="0" xfId="703" applyFont="1" applyFill="1" applyAlignment="1">
      <alignment horizontal="left" vertical="center" wrapText="1"/>
    </xf>
    <xf numFmtId="0" fontId="28" fillId="0" borderId="22" xfId="703" applyFont="1" applyFill="1" applyBorder="1" applyAlignment="1">
      <alignment horizontal="left" vertical="center" wrapText="1"/>
    </xf>
    <xf numFmtId="0" fontId="28" fillId="0" borderId="13" xfId="703" applyFont="1" applyFill="1" applyBorder="1" applyAlignment="1">
      <alignment horizontal="left" vertical="center" wrapText="1"/>
    </xf>
    <xf numFmtId="0" fontId="28" fillId="0" borderId="14" xfId="703" applyFont="1" applyFill="1" applyBorder="1" applyAlignment="1">
      <alignment horizontal="left" vertical="center" wrapText="1"/>
    </xf>
    <xf numFmtId="0" fontId="28" fillId="0" borderId="20" xfId="703" applyFont="1" applyFill="1" applyBorder="1" applyAlignment="1">
      <alignment horizontal="left" vertical="center" wrapText="1"/>
    </xf>
    <xf numFmtId="0" fontId="11" fillId="0" borderId="15" xfId="703" applyFont="1" applyFill="1" applyBorder="1" applyAlignment="1">
      <alignment horizontal="center" vertical="center" wrapText="1"/>
    </xf>
    <xf numFmtId="0" fontId="11" fillId="0" borderId="12" xfId="703" applyFont="1" applyFill="1" applyBorder="1" applyAlignment="1">
      <alignment horizontal="center" vertical="center" wrapText="1"/>
    </xf>
    <xf numFmtId="0" fontId="67" fillId="0" borderId="2" xfId="1" applyFont="1" applyBorder="1" applyAlignment="1">
      <alignment horizontal="center" vertical="center"/>
    </xf>
    <xf numFmtId="0" fontId="67" fillId="0" borderId="24" xfId="1" applyFont="1" applyBorder="1" applyAlignment="1">
      <alignment horizontal="center" vertical="center"/>
    </xf>
    <xf numFmtId="0" fontId="67" fillId="0" borderId="23" xfId="1" applyFont="1" applyBorder="1" applyAlignment="1">
      <alignment horizontal="center" vertical="center"/>
    </xf>
    <xf numFmtId="0" fontId="67" fillId="0" borderId="55" xfId="1" applyFont="1" applyBorder="1" applyAlignment="1">
      <alignment horizontal="center" vertical="center"/>
    </xf>
    <xf numFmtId="176" fontId="67" fillId="0" borderId="56" xfId="1" applyNumberFormat="1" applyFont="1" applyBorder="1" applyAlignment="1">
      <alignment horizontal="center" vertical="center"/>
    </xf>
    <xf numFmtId="176" fontId="67" fillId="0" borderId="2" xfId="1" applyNumberFormat="1" applyFont="1" applyBorder="1" applyAlignment="1">
      <alignment horizontal="center" vertical="center"/>
    </xf>
    <xf numFmtId="176" fontId="67" fillId="0" borderId="24" xfId="1" applyNumberFormat="1" applyFont="1" applyBorder="1" applyAlignment="1">
      <alignment horizontal="center" vertical="center"/>
    </xf>
    <xf numFmtId="0" fontId="70" fillId="0" borderId="23" xfId="1" applyFont="1" applyBorder="1" applyAlignment="1">
      <alignment horizontal="center" vertical="center"/>
    </xf>
    <xf numFmtId="0" fontId="70" fillId="0" borderId="2" xfId="1" applyFont="1" applyBorder="1" applyAlignment="1">
      <alignment horizontal="center" vertical="center"/>
    </xf>
    <xf numFmtId="0" fontId="70" fillId="0" borderId="55" xfId="1" applyFont="1" applyBorder="1" applyAlignment="1">
      <alignment horizontal="center" vertical="center"/>
    </xf>
    <xf numFmtId="0" fontId="67" fillId="0" borderId="56" xfId="1" applyFont="1" applyBorder="1" applyAlignment="1">
      <alignment horizontal="center" vertical="center"/>
    </xf>
    <xf numFmtId="0" fontId="28" fillId="0" borderId="12" xfId="1" applyFont="1" applyBorder="1" applyAlignment="1">
      <alignment vertical="center" wrapText="1"/>
    </xf>
    <xf numFmtId="0" fontId="28" fillId="0" borderId="19" xfId="1" applyFont="1" applyBorder="1" applyAlignment="1">
      <alignment vertical="center" wrapText="1"/>
    </xf>
    <xf numFmtId="0" fontId="67" fillId="0" borderId="16" xfId="1" applyFont="1" applyBorder="1" applyAlignment="1">
      <alignment horizontal="center" vertical="center"/>
    </xf>
    <xf numFmtId="0" fontId="67" fillId="0" borderId="18" xfId="1" applyFont="1" applyBorder="1" applyAlignment="1">
      <alignment horizontal="center" vertical="center"/>
    </xf>
    <xf numFmtId="2" fontId="11" fillId="0" borderId="37" xfId="1" applyNumberFormat="1" applyFont="1" applyBorder="1" applyAlignment="1">
      <alignment horizontal="center" vertical="center"/>
    </xf>
    <xf numFmtId="2" fontId="11" fillId="0" borderId="39" xfId="1" applyNumberFormat="1" applyFont="1" applyBorder="1" applyAlignment="1">
      <alignment horizontal="center" vertical="center"/>
    </xf>
    <xf numFmtId="0" fontId="68" fillId="0" borderId="15" xfId="1" applyFont="1" applyBorder="1" applyAlignment="1">
      <alignment horizontal="center" vertical="center"/>
    </xf>
    <xf numFmtId="0" fontId="68" fillId="0" borderId="12" xfId="1" applyFont="1" applyBorder="1" applyAlignment="1">
      <alignment horizontal="center" vertical="center"/>
    </xf>
    <xf numFmtId="0" fontId="68" fillId="0" borderId="19" xfId="1" applyFont="1" applyBorder="1" applyAlignment="1">
      <alignment horizontal="center" vertical="center"/>
    </xf>
    <xf numFmtId="0" fontId="68" fillId="0" borderId="21" xfId="1" applyFont="1" applyBorder="1" applyAlignment="1">
      <alignment horizontal="center" vertical="center"/>
    </xf>
    <xf numFmtId="0" fontId="68" fillId="0" borderId="0" xfId="1" applyFont="1" applyBorder="1" applyAlignment="1">
      <alignment horizontal="center" vertical="center"/>
    </xf>
    <xf numFmtId="0" fontId="68" fillId="0" borderId="22" xfId="1" applyFont="1" applyBorder="1" applyAlignment="1">
      <alignment horizontal="center" vertical="center"/>
    </xf>
    <xf numFmtId="0" fontId="11" fillId="24" borderId="15" xfId="1" applyFont="1" applyFill="1" applyBorder="1" applyAlignment="1">
      <alignment horizontal="left" vertical="center"/>
    </xf>
    <xf numFmtId="0" fontId="28" fillId="0" borderId="12" xfId="1" applyFont="1" applyBorder="1" applyAlignment="1">
      <alignment horizontal="left" vertical="center"/>
    </xf>
    <xf numFmtId="0" fontId="28" fillId="0" borderId="19" xfId="1" applyFont="1" applyBorder="1" applyAlignment="1">
      <alignment horizontal="left" vertical="center"/>
    </xf>
    <xf numFmtId="0" fontId="28" fillId="0" borderId="13" xfId="1" applyFont="1" applyBorder="1" applyAlignment="1">
      <alignment horizontal="left" vertical="center"/>
    </xf>
    <xf numFmtId="0" fontId="28" fillId="0" borderId="14" xfId="1" applyFont="1" applyBorder="1" applyAlignment="1">
      <alignment horizontal="left" vertical="center"/>
    </xf>
    <xf numFmtId="0" fontId="28" fillId="0" borderId="20" xfId="1" applyFont="1" applyBorder="1" applyAlignment="1">
      <alignment horizontal="left" vertical="center"/>
    </xf>
    <xf numFmtId="0" fontId="11" fillId="0" borderId="15" xfId="1" applyFont="1" applyBorder="1" applyAlignment="1">
      <alignment horizontal="left" vertical="center" wrapText="1"/>
    </xf>
    <xf numFmtId="0" fontId="11" fillId="0" borderId="12" xfId="1" applyFont="1" applyBorder="1" applyAlignment="1">
      <alignment horizontal="left" vertical="center" wrapText="1"/>
    </xf>
    <xf numFmtId="0" fontId="11" fillId="0" borderId="19" xfId="1" applyFont="1" applyBorder="1" applyAlignment="1">
      <alignment horizontal="left" vertical="center" wrapText="1"/>
    </xf>
    <xf numFmtId="0" fontId="11" fillId="0" borderId="13" xfId="1" applyFont="1" applyBorder="1" applyAlignment="1">
      <alignment horizontal="left" vertical="center" wrapText="1"/>
    </xf>
    <xf numFmtId="0" fontId="11" fillId="0" borderId="14" xfId="1" applyFont="1" applyBorder="1" applyAlignment="1">
      <alignment horizontal="left" vertical="center" wrapText="1"/>
    </xf>
    <xf numFmtId="0" fontId="11" fillId="0" borderId="20" xfId="1" applyFont="1" applyBorder="1" applyAlignment="1">
      <alignment horizontal="left" vertical="center" wrapText="1"/>
    </xf>
    <xf numFmtId="0" fontId="11" fillId="0" borderId="15" xfId="1" applyFont="1" applyBorder="1" applyAlignment="1">
      <alignment vertical="center" shrinkToFit="1"/>
    </xf>
    <xf numFmtId="0" fontId="11" fillId="0" borderId="12" xfId="1" applyFont="1" applyBorder="1" applyAlignment="1">
      <alignment vertical="center" shrinkToFit="1"/>
    </xf>
    <xf numFmtId="0" fontId="11" fillId="0" borderId="19" xfId="1" applyFont="1" applyBorder="1" applyAlignment="1">
      <alignment vertical="center" shrinkToFit="1"/>
    </xf>
    <xf numFmtId="0" fontId="11" fillId="0" borderId="15" xfId="1" quotePrefix="1" applyFont="1" applyBorder="1" applyAlignment="1">
      <alignment horizontal="center" vertical="center"/>
    </xf>
    <xf numFmtId="0" fontId="11" fillId="0" borderId="12" xfId="1" quotePrefix="1" applyFont="1" applyBorder="1" applyAlignment="1">
      <alignment horizontal="center" vertical="center"/>
    </xf>
    <xf numFmtId="0" fontId="11" fillId="0" borderId="19" xfId="1" quotePrefix="1" applyFont="1" applyBorder="1" applyAlignment="1">
      <alignment horizontal="center" vertical="center"/>
    </xf>
    <xf numFmtId="0" fontId="11" fillId="0" borderId="13" xfId="1" quotePrefix="1" applyFont="1" applyBorder="1" applyAlignment="1">
      <alignment horizontal="center" vertical="center"/>
    </xf>
    <xf numFmtId="0" fontId="11" fillId="0" borderId="14" xfId="1" quotePrefix="1" applyFont="1" applyBorder="1" applyAlignment="1">
      <alignment horizontal="center" vertical="center"/>
    </xf>
    <xf numFmtId="0" fontId="11" fillId="0" borderId="20" xfId="1" quotePrefix="1" applyFont="1" applyBorder="1" applyAlignment="1">
      <alignment horizontal="center" vertical="center"/>
    </xf>
    <xf numFmtId="0" fontId="11" fillId="0" borderId="15" xfId="1" quotePrefix="1" applyFont="1" applyBorder="1" applyAlignment="1">
      <alignment horizontal="center" vertical="center" wrapText="1"/>
    </xf>
    <xf numFmtId="0" fontId="11" fillId="26" borderId="15" xfId="1" applyFont="1" applyFill="1" applyBorder="1" applyAlignment="1">
      <alignment horizontal="center" vertical="center"/>
    </xf>
    <xf numFmtId="0" fontId="28" fillId="0" borderId="12" xfId="1" applyFont="1" applyBorder="1" applyAlignment="1">
      <alignment horizontal="center" vertical="center"/>
    </xf>
    <xf numFmtId="0" fontId="28" fillId="0" borderId="19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4" xfId="1" applyFont="1" applyBorder="1" applyAlignment="1">
      <alignment horizontal="center" vertical="center"/>
    </xf>
    <xf numFmtId="0" fontId="28" fillId="0" borderId="20" xfId="1" applyFont="1" applyBorder="1" applyAlignment="1">
      <alignment horizontal="center" vertical="center"/>
    </xf>
    <xf numFmtId="0" fontId="11" fillId="0" borderId="15" xfId="1" applyFont="1" applyBorder="1" applyAlignment="1">
      <alignment horizontal="left" vertical="center" shrinkToFit="1"/>
    </xf>
    <xf numFmtId="0" fontId="11" fillId="0" borderId="12" xfId="1" applyFont="1" applyBorder="1" applyAlignment="1">
      <alignment horizontal="left" vertical="center" shrinkToFit="1"/>
    </xf>
    <xf numFmtId="0" fontId="11" fillId="0" borderId="19" xfId="1" applyFont="1" applyBorder="1" applyAlignment="1">
      <alignment horizontal="left" vertical="center" shrinkToFit="1"/>
    </xf>
    <xf numFmtId="0" fontId="11" fillId="0" borderId="13" xfId="1" applyFont="1" applyBorder="1" applyAlignment="1">
      <alignment horizontal="left" vertical="center" shrinkToFit="1"/>
    </xf>
    <xf numFmtId="0" fontId="11" fillId="0" borderId="14" xfId="1" applyFont="1" applyBorder="1" applyAlignment="1">
      <alignment horizontal="left" vertical="center" shrinkToFit="1"/>
    </xf>
    <xf numFmtId="0" fontId="11" fillId="0" borderId="20" xfId="1" applyFont="1" applyBorder="1" applyAlignment="1">
      <alignment horizontal="left" vertical="center" shrinkToFit="1"/>
    </xf>
    <xf numFmtId="0" fontId="28" fillId="26" borderId="15" xfId="1" applyFont="1" applyFill="1" applyBorder="1" applyAlignment="1">
      <alignment horizontal="center" vertical="center"/>
    </xf>
    <xf numFmtId="49" fontId="71" fillId="0" borderId="78" xfId="0" applyNumberFormat="1" applyFont="1" applyBorder="1" applyAlignment="1">
      <alignment horizontal="center" vertical="center"/>
    </xf>
    <xf numFmtId="49" fontId="71" fillId="0" borderId="66" xfId="0" applyNumberFormat="1" applyFont="1" applyBorder="1" applyAlignment="1">
      <alignment horizontal="center" vertical="center"/>
    </xf>
    <xf numFmtId="14" fontId="11" fillId="0" borderId="23" xfId="0" applyNumberFormat="1" applyFont="1" applyFill="1" applyBorder="1" applyAlignment="1">
      <alignment horizontal="center" vertical="center"/>
    </xf>
    <xf numFmtId="14" fontId="11" fillId="0" borderId="2" xfId="0" applyNumberFormat="1" applyFont="1" applyFill="1" applyBorder="1" applyAlignment="1">
      <alignment horizontal="center" vertical="center"/>
    </xf>
    <xf numFmtId="14" fontId="11" fillId="0" borderId="24" xfId="0" applyNumberFormat="1" applyFont="1" applyFill="1" applyBorder="1" applyAlignment="1">
      <alignment horizontal="center" vertical="center"/>
    </xf>
    <xf numFmtId="49" fontId="11" fillId="0" borderId="47" xfId="0" applyNumberFormat="1" applyFont="1" applyFill="1" applyBorder="1" applyAlignment="1">
      <alignment horizontal="center" vertical="center"/>
    </xf>
    <xf numFmtId="49" fontId="11" fillId="0" borderId="0" xfId="0" quotePrefix="1" applyNumberFormat="1" applyFont="1" applyFill="1" applyBorder="1" applyAlignment="1">
      <alignment horizontal="center" vertical="center"/>
    </xf>
    <xf numFmtId="49" fontId="11" fillId="0" borderId="57" xfId="0" quotePrefix="1" applyNumberFormat="1" applyFont="1" applyFill="1" applyBorder="1" applyAlignment="1">
      <alignment horizontal="center" vertical="center"/>
    </xf>
    <xf numFmtId="49" fontId="11" fillId="0" borderId="14" xfId="0" quotePrefix="1" applyNumberFormat="1" applyFont="1" applyFill="1" applyBorder="1" applyAlignment="1">
      <alignment horizontal="center" vertical="center"/>
    </xf>
    <xf numFmtId="0" fontId="11" fillId="0" borderId="15" xfId="702" applyFont="1" applyFill="1" applyBorder="1" applyAlignment="1">
      <alignment horizontal="left" vertical="center" wrapText="1"/>
    </xf>
    <xf numFmtId="0" fontId="11" fillId="0" borderId="12" xfId="702" applyFont="1" applyFill="1" applyBorder="1" applyAlignment="1">
      <alignment horizontal="left" vertical="center" wrapText="1"/>
    </xf>
    <xf numFmtId="0" fontId="11" fillId="0" borderId="19" xfId="702" applyFont="1" applyFill="1" applyBorder="1" applyAlignment="1">
      <alignment horizontal="left" vertical="center" wrapText="1"/>
    </xf>
    <xf numFmtId="0" fontId="11" fillId="0" borderId="13" xfId="702" applyFont="1" applyFill="1" applyBorder="1" applyAlignment="1">
      <alignment horizontal="left" vertical="center" wrapText="1"/>
    </xf>
    <xf numFmtId="0" fontId="11" fillId="0" borderId="14" xfId="702" applyFont="1" applyFill="1" applyBorder="1" applyAlignment="1">
      <alignment horizontal="left" vertical="center" wrapText="1"/>
    </xf>
    <xf numFmtId="0" fontId="11" fillId="0" borderId="20" xfId="702" applyFont="1" applyFill="1" applyBorder="1" applyAlignment="1">
      <alignment horizontal="left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45" xfId="0" applyFont="1" applyFill="1" applyBorder="1" applyAlignment="1">
      <alignment horizontal="center" vertical="center" wrapText="1"/>
    </xf>
    <xf numFmtId="49" fontId="11" fillId="0" borderId="21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49" fontId="11" fillId="0" borderId="22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49" fontId="11" fillId="0" borderId="14" xfId="0" applyNumberFormat="1" applyFont="1" applyFill="1" applyBorder="1" applyAlignment="1">
      <alignment horizontal="center" vertical="center"/>
    </xf>
    <xf numFmtId="49" fontId="11" fillId="0" borderId="20" xfId="0" applyNumberFormat="1" applyFont="1" applyFill="1" applyBorder="1" applyAlignment="1">
      <alignment horizontal="center" vertical="center"/>
    </xf>
    <xf numFmtId="181" fontId="11" fillId="0" borderId="15" xfId="0" applyNumberFormat="1" applyFont="1" applyFill="1" applyBorder="1" applyAlignment="1">
      <alignment horizontal="center" vertical="center"/>
    </xf>
    <xf numFmtId="181" fontId="11" fillId="0" borderId="12" xfId="0" applyNumberFormat="1" applyFont="1" applyFill="1" applyBorder="1" applyAlignment="1">
      <alignment horizontal="center" vertical="center"/>
    </xf>
    <xf numFmtId="181" fontId="11" fillId="0" borderId="19" xfId="0" applyNumberFormat="1" applyFont="1" applyFill="1" applyBorder="1" applyAlignment="1">
      <alignment horizontal="center" vertical="center"/>
    </xf>
    <xf numFmtId="181" fontId="11" fillId="0" borderId="13" xfId="0" applyNumberFormat="1" applyFont="1" applyFill="1" applyBorder="1" applyAlignment="1">
      <alignment horizontal="center" vertical="center"/>
    </xf>
    <xf numFmtId="181" fontId="11" fillId="0" borderId="14" xfId="0" applyNumberFormat="1" applyFont="1" applyFill="1" applyBorder="1" applyAlignment="1">
      <alignment horizontal="center" vertical="center"/>
    </xf>
    <xf numFmtId="181" fontId="11" fillId="0" borderId="20" xfId="0" applyNumberFormat="1" applyFont="1" applyFill="1" applyBorder="1" applyAlignment="1">
      <alignment horizontal="center" vertical="center"/>
    </xf>
    <xf numFmtId="0" fontId="11" fillId="0" borderId="15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77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58" xfId="1" applyFont="1" applyBorder="1" applyAlignment="1">
      <alignment horizontal="center" vertical="center" wrapText="1"/>
    </xf>
    <xf numFmtId="0" fontId="11" fillId="24" borderId="52" xfId="1" applyFont="1" applyFill="1" applyBorder="1" applyAlignment="1">
      <alignment horizontal="center" vertical="center" wrapText="1"/>
    </xf>
    <xf numFmtId="0" fontId="11" fillId="24" borderId="63" xfId="1" applyFont="1" applyFill="1" applyBorder="1" applyAlignment="1">
      <alignment horizontal="center" vertical="center" wrapText="1"/>
    </xf>
    <xf numFmtId="0" fontId="11" fillId="24" borderId="60" xfId="1" applyFont="1" applyFill="1" applyBorder="1" applyAlignment="1">
      <alignment horizontal="center" vertical="center" wrapText="1"/>
    </xf>
    <xf numFmtId="0" fontId="11" fillId="24" borderId="51" xfId="1" applyFont="1" applyFill="1" applyBorder="1" applyAlignment="1">
      <alignment horizontal="center" vertical="center" wrapText="1"/>
    </xf>
    <xf numFmtId="0" fontId="11" fillId="24" borderId="40" xfId="1" applyFont="1" applyFill="1" applyBorder="1" applyAlignment="1">
      <alignment horizontal="center" vertical="center" wrapText="1"/>
    </xf>
    <xf numFmtId="0" fontId="11" fillId="24" borderId="62" xfId="1" applyFont="1" applyFill="1" applyBorder="1" applyAlignment="1">
      <alignment horizontal="center" vertical="center" wrapText="1"/>
    </xf>
    <xf numFmtId="0" fontId="11" fillId="24" borderId="53" xfId="1" applyFont="1" applyFill="1" applyBorder="1" applyAlignment="1">
      <alignment horizontal="center" vertical="center" wrapText="1"/>
    </xf>
    <xf numFmtId="0" fontId="11" fillId="24" borderId="54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>
      <alignment horizontal="center" vertical="center"/>
    </xf>
    <xf numFmtId="0" fontId="8" fillId="0" borderId="38" xfId="1" applyFont="1" applyFill="1" applyBorder="1" applyAlignment="1">
      <alignment horizontal="center" vertical="center"/>
    </xf>
    <xf numFmtId="0" fontId="8" fillId="0" borderId="39" xfId="1" applyFont="1" applyFill="1" applyBorder="1" applyAlignment="1">
      <alignment horizontal="center" vertical="center"/>
    </xf>
    <xf numFmtId="0" fontId="70" fillId="24" borderId="59" xfId="1" applyFont="1" applyFill="1" applyBorder="1" applyAlignment="1">
      <alignment horizontal="center" vertical="center" wrapText="1" shrinkToFit="1"/>
    </xf>
    <xf numFmtId="0" fontId="70" fillId="24" borderId="60" xfId="1" applyFont="1" applyFill="1" applyBorder="1" applyAlignment="1">
      <alignment horizontal="center" vertical="center" wrapText="1" shrinkToFit="1"/>
    </xf>
    <xf numFmtId="0" fontId="70" fillId="24" borderId="61" xfId="1" applyFont="1" applyFill="1" applyBorder="1" applyAlignment="1">
      <alignment horizontal="center" vertical="center" wrapText="1" shrinkToFit="1"/>
    </xf>
    <xf numFmtId="0" fontId="70" fillId="24" borderId="62" xfId="1" applyFont="1" applyFill="1" applyBorder="1" applyAlignment="1">
      <alignment horizontal="center" vertical="center" wrapText="1" shrinkToFit="1"/>
    </xf>
    <xf numFmtId="0" fontId="11" fillId="24" borderId="41" xfId="1" applyFont="1" applyFill="1" applyBorder="1" applyAlignment="1">
      <alignment horizontal="center" vertical="center"/>
    </xf>
    <xf numFmtId="0" fontId="11" fillId="24" borderId="42" xfId="1" applyFont="1" applyFill="1" applyBorder="1" applyAlignment="1">
      <alignment horizontal="center" vertical="center"/>
    </xf>
    <xf numFmtId="0" fontId="11" fillId="24" borderId="46" xfId="1" applyFont="1" applyFill="1" applyBorder="1" applyAlignment="1">
      <alignment horizontal="center" vertical="center"/>
    </xf>
    <xf numFmtId="0" fontId="11" fillId="24" borderId="59" xfId="1" applyFont="1" applyFill="1" applyBorder="1" applyAlignment="1">
      <alignment horizontal="center" vertical="center"/>
    </xf>
    <xf numFmtId="0" fontId="11" fillId="24" borderId="63" xfId="1" applyFont="1" applyFill="1" applyBorder="1" applyAlignment="1">
      <alignment horizontal="center" vertical="center"/>
    </xf>
    <xf numFmtId="0" fontId="11" fillId="24" borderId="53" xfId="1" applyFont="1" applyFill="1" applyBorder="1" applyAlignment="1">
      <alignment horizontal="center" vertical="center"/>
    </xf>
    <xf numFmtId="0" fontId="11" fillId="24" borderId="61" xfId="1" applyFont="1" applyFill="1" applyBorder="1" applyAlignment="1">
      <alignment horizontal="center" vertical="center"/>
    </xf>
    <xf numFmtId="0" fontId="11" fillId="24" borderId="40" xfId="1" applyFont="1" applyFill="1" applyBorder="1" applyAlignment="1">
      <alignment horizontal="center" vertical="center"/>
    </xf>
    <xf numFmtId="0" fontId="11" fillId="24" borderId="54" xfId="1" applyFont="1" applyFill="1" applyBorder="1" applyAlignment="1">
      <alignment horizontal="center" vertical="center"/>
    </xf>
    <xf numFmtId="0" fontId="67" fillId="24" borderId="43" xfId="1" applyFont="1" applyFill="1" applyBorder="1" applyAlignment="1">
      <alignment horizontal="center" vertical="center"/>
    </xf>
    <xf numFmtId="0" fontId="67" fillId="24" borderId="49" xfId="1" applyFont="1" applyFill="1" applyBorder="1" applyAlignment="1">
      <alignment horizontal="center" vertical="center"/>
    </xf>
    <xf numFmtId="0" fontId="67" fillId="24" borderId="44" xfId="1" applyFont="1" applyFill="1" applyBorder="1" applyAlignment="1">
      <alignment horizontal="center" vertical="center"/>
    </xf>
    <xf numFmtId="0" fontId="11" fillId="24" borderId="51" xfId="1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left" vertical="center" shrinkToFit="1"/>
    </xf>
    <xf numFmtId="0" fontId="11" fillId="0" borderId="14" xfId="1" applyFont="1" applyFill="1" applyBorder="1" applyAlignment="1">
      <alignment horizontal="left" vertical="center" shrinkToFit="1"/>
    </xf>
    <xf numFmtId="0" fontId="11" fillId="0" borderId="20" xfId="1" applyFont="1" applyFill="1" applyBorder="1" applyAlignment="1">
      <alignment horizontal="left" vertical="center" shrinkToFit="1"/>
    </xf>
    <xf numFmtId="0" fontId="67" fillId="24" borderId="43" xfId="1" applyFont="1" applyFill="1" applyBorder="1" applyAlignment="1" applyProtection="1">
      <alignment horizontal="center" vertical="center"/>
    </xf>
    <xf numFmtId="0" fontId="67" fillId="24" borderId="49" xfId="1" applyFont="1" applyFill="1" applyBorder="1" applyAlignment="1" applyProtection="1">
      <alignment horizontal="center" vertical="center"/>
    </xf>
    <xf numFmtId="0" fontId="67" fillId="24" borderId="44" xfId="1" applyFont="1" applyFill="1" applyBorder="1" applyAlignment="1" applyProtection="1">
      <alignment horizontal="center" vertical="center"/>
    </xf>
    <xf numFmtId="178" fontId="8" fillId="24" borderId="37" xfId="1" applyNumberFormat="1" applyFont="1" applyFill="1" applyBorder="1" applyAlignment="1">
      <alignment horizontal="center" vertical="center"/>
    </xf>
    <xf numFmtId="178" fontId="8" fillId="24" borderId="38" xfId="1" applyNumberFormat="1" applyFont="1" applyFill="1" applyBorder="1" applyAlignment="1">
      <alignment horizontal="center" vertical="center"/>
    </xf>
    <xf numFmtId="178" fontId="8" fillId="24" borderId="39" xfId="1" applyNumberFormat="1" applyFont="1" applyFill="1" applyBorder="1" applyAlignment="1">
      <alignment horizontal="center" vertical="center"/>
    </xf>
    <xf numFmtId="177" fontId="8" fillId="24" borderId="37" xfId="1" applyNumberFormat="1" applyFont="1" applyFill="1" applyBorder="1" applyAlignment="1">
      <alignment horizontal="center" vertical="center"/>
    </xf>
    <xf numFmtId="177" fontId="8" fillId="24" borderId="38" xfId="1" applyNumberFormat="1" applyFont="1" applyFill="1" applyBorder="1" applyAlignment="1">
      <alignment horizontal="center" vertical="center"/>
    </xf>
    <xf numFmtId="177" fontId="8" fillId="24" borderId="39" xfId="1" applyNumberFormat="1" applyFont="1" applyFill="1" applyBorder="1" applyAlignment="1">
      <alignment horizontal="center" vertical="center"/>
    </xf>
    <xf numFmtId="0" fontId="14" fillId="0" borderId="23" xfId="1" applyFont="1" applyFill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/>
    </xf>
    <xf numFmtId="0" fontId="14" fillId="0" borderId="24" xfId="1" applyFont="1" applyFill="1" applyBorder="1" applyAlignment="1">
      <alignment horizontal="center" vertical="center"/>
    </xf>
    <xf numFmtId="179" fontId="15" fillId="0" borderId="23" xfId="1" quotePrefix="1" applyNumberFormat="1" applyFont="1" applyFill="1" applyBorder="1" applyAlignment="1">
      <alignment horizontal="center" vertical="center"/>
    </xf>
    <xf numFmtId="179" fontId="15" fillId="0" borderId="24" xfId="1" quotePrefix="1" applyNumberFormat="1" applyFont="1" applyFill="1" applyBorder="1" applyAlignment="1">
      <alignment horizontal="center" vertical="center"/>
    </xf>
    <xf numFmtId="179" fontId="7" fillId="0" borderId="23" xfId="1" applyNumberFormat="1" applyFont="1" applyFill="1" applyBorder="1" applyAlignment="1">
      <alignment horizontal="center"/>
    </xf>
    <xf numFmtId="179" fontId="7" fillId="0" borderId="24" xfId="1" applyNumberFormat="1" applyFont="1" applyFill="1" applyBorder="1" applyAlignment="1">
      <alignment horizontal="center"/>
    </xf>
    <xf numFmtId="0" fontId="7" fillId="0" borderId="23" xfId="701" applyFont="1" applyBorder="1" applyAlignment="1">
      <alignment horizontal="center"/>
    </xf>
    <xf numFmtId="0" fontId="7" fillId="0" borderId="2" xfId="701" applyFont="1" applyBorder="1" applyAlignment="1">
      <alignment horizontal="center"/>
    </xf>
    <xf numFmtId="0" fontId="7" fillId="0" borderId="24" xfId="701" applyFont="1" applyBorder="1" applyAlignment="1">
      <alignment horizontal="center"/>
    </xf>
    <xf numFmtId="179" fontId="7" fillId="0" borderId="13" xfId="702" applyNumberFormat="1" applyFont="1" applyFill="1" applyBorder="1" applyAlignment="1">
      <alignment horizontal="center"/>
    </xf>
    <xf numFmtId="179" fontId="7" fillId="0" borderId="14" xfId="702" applyNumberFormat="1" applyFont="1" applyFill="1" applyBorder="1" applyAlignment="1">
      <alignment horizontal="center"/>
    </xf>
    <xf numFmtId="179" fontId="7" fillId="0" borderId="20" xfId="702" applyNumberFormat="1" applyFont="1" applyFill="1" applyBorder="1" applyAlignment="1">
      <alignment horizontal="center"/>
    </xf>
    <xf numFmtId="179" fontId="73" fillId="24" borderId="13" xfId="702" applyNumberFormat="1" applyFont="1" applyFill="1" applyBorder="1" applyAlignment="1">
      <alignment horizontal="center"/>
    </xf>
    <xf numFmtId="179" fontId="73" fillId="24" borderId="20" xfId="702" applyNumberFormat="1" applyFont="1" applyFill="1" applyBorder="1" applyAlignment="1">
      <alignment horizontal="center"/>
    </xf>
    <xf numFmtId="179" fontId="7" fillId="0" borderId="23" xfId="702" applyNumberFormat="1" applyFont="1" applyFill="1" applyBorder="1" applyAlignment="1">
      <alignment horizontal="center"/>
    </xf>
    <xf numFmtId="179" fontId="7" fillId="0" borderId="24" xfId="702" applyNumberFormat="1" applyFont="1" applyFill="1" applyBorder="1" applyAlignment="1">
      <alignment horizontal="center"/>
    </xf>
    <xf numFmtId="179" fontId="7" fillId="58" borderId="13" xfId="702" applyNumberFormat="1" applyFont="1" applyFill="1" applyBorder="1" applyAlignment="1">
      <alignment horizontal="center"/>
    </xf>
    <xf numFmtId="179" fontId="7" fillId="58" borderId="20" xfId="702" applyNumberFormat="1" applyFont="1" applyFill="1" applyBorder="1" applyAlignment="1">
      <alignment horizontal="center"/>
    </xf>
    <xf numFmtId="179" fontId="73" fillId="0" borderId="13" xfId="702" applyNumberFormat="1" applyFont="1" applyFill="1" applyBorder="1" applyAlignment="1">
      <alignment horizontal="center"/>
    </xf>
    <xf numFmtId="179" fontId="73" fillId="0" borderId="20" xfId="702" applyNumberFormat="1" applyFont="1" applyFill="1" applyBorder="1" applyAlignment="1">
      <alignment horizontal="center"/>
    </xf>
    <xf numFmtId="14" fontId="7" fillId="0" borderId="23" xfId="1" applyNumberFormat="1" applyFont="1" applyFill="1" applyBorder="1" applyAlignment="1">
      <alignment horizontal="center" vertical="center"/>
    </xf>
    <xf numFmtId="14" fontId="7" fillId="0" borderId="2" xfId="1" applyNumberFormat="1" applyFont="1" applyFill="1" applyBorder="1" applyAlignment="1">
      <alignment horizontal="center" vertical="center"/>
    </xf>
    <xf numFmtId="14" fontId="7" fillId="0" borderId="24" xfId="1" applyNumberFormat="1" applyFont="1" applyFill="1" applyBorder="1" applyAlignment="1">
      <alignment horizontal="center" vertical="center"/>
    </xf>
    <xf numFmtId="49" fontId="7" fillId="58" borderId="41" xfId="1" applyNumberFormat="1" applyFont="1" applyFill="1" applyBorder="1" applyAlignment="1">
      <alignment horizontal="center" vertical="center"/>
    </xf>
    <xf numFmtId="49" fontId="7" fillId="58" borderId="82" xfId="1" applyNumberFormat="1" applyFont="1" applyFill="1" applyBorder="1" applyAlignment="1">
      <alignment horizontal="center" vertical="center"/>
    </xf>
    <xf numFmtId="0" fontId="67" fillId="0" borderId="63" xfId="1" applyFont="1" applyBorder="1" applyAlignment="1">
      <alignment horizontal="left" vertical="top" wrapText="1"/>
    </xf>
    <xf numFmtId="0" fontId="67" fillId="0" borderId="53" xfId="1" applyFont="1" applyBorder="1" applyAlignment="1">
      <alignment horizontal="left" vertical="top" wrapText="1"/>
    </xf>
    <xf numFmtId="0" fontId="14" fillId="0" borderId="43" xfId="1" applyFont="1" applyFill="1" applyBorder="1" applyAlignment="1">
      <alignment horizontal="center" vertical="center"/>
    </xf>
    <xf numFmtId="0" fontId="14" fillId="0" borderId="49" xfId="1" applyFont="1" applyFill="1" applyBorder="1" applyAlignment="1">
      <alignment horizontal="center" vertical="center"/>
    </xf>
    <xf numFmtId="0" fontId="14" fillId="0" borderId="44" xfId="1" applyFont="1" applyFill="1" applyBorder="1" applyAlignment="1">
      <alignment horizontal="center" vertical="center"/>
    </xf>
    <xf numFmtId="179" fontId="15" fillId="0" borderId="43" xfId="1" quotePrefix="1" applyNumberFormat="1" applyFont="1" applyFill="1" applyBorder="1" applyAlignment="1">
      <alignment horizontal="center" vertical="center"/>
    </xf>
    <xf numFmtId="179" fontId="15" fillId="0" borderId="44" xfId="1" applyNumberFormat="1" applyFont="1" applyFill="1" applyBorder="1" applyAlignment="1">
      <alignment horizontal="center" vertical="center"/>
    </xf>
    <xf numFmtId="179" fontId="15" fillId="58" borderId="43" xfId="1" quotePrefix="1" applyNumberFormat="1" applyFont="1" applyFill="1" applyBorder="1" applyAlignment="1">
      <alignment horizontal="center"/>
    </xf>
    <xf numFmtId="179" fontId="15" fillId="58" borderId="44" xfId="1" applyNumberFormat="1" applyFont="1" applyFill="1" applyBorder="1" applyAlignment="1">
      <alignment horizontal="center"/>
    </xf>
    <xf numFmtId="49" fontId="7" fillId="58" borderId="46" xfId="1" applyNumberFormat="1" applyFont="1" applyFill="1" applyBorder="1" applyAlignment="1">
      <alignment horizontal="center" vertical="center"/>
    </xf>
    <xf numFmtId="0" fontId="7" fillId="58" borderId="28" xfId="1" applyFont="1" applyFill="1" applyBorder="1" applyAlignment="1">
      <alignment horizontal="center" vertical="center"/>
    </xf>
    <xf numFmtId="0" fontId="7" fillId="58" borderId="29" xfId="1" applyFont="1" applyFill="1" applyBorder="1" applyAlignment="1">
      <alignment horizontal="center" vertical="center"/>
    </xf>
    <xf numFmtId="0" fontId="7" fillId="0" borderId="59" xfId="1" applyFont="1" applyBorder="1" applyAlignment="1">
      <alignment horizontal="center" vertical="center" textRotation="255" shrinkToFit="1"/>
    </xf>
    <xf numFmtId="0" fontId="7" fillId="0" borderId="60" xfId="1" applyFont="1" applyBorder="1" applyAlignment="1">
      <alignment horizontal="center" vertical="center" textRotation="255" shrinkToFit="1"/>
    </xf>
    <xf numFmtId="0" fontId="7" fillId="0" borderId="61" xfId="1" applyFont="1" applyBorder="1" applyAlignment="1">
      <alignment horizontal="center" vertical="center" textRotation="255" shrinkToFit="1"/>
    </xf>
    <xf numFmtId="0" fontId="7" fillId="0" borderId="62" xfId="1" applyFont="1" applyBorder="1" applyAlignment="1">
      <alignment horizontal="center" vertical="center" textRotation="255" shrinkToFit="1"/>
    </xf>
    <xf numFmtId="0" fontId="7" fillId="0" borderId="48" xfId="1" applyFont="1" applyFill="1" applyBorder="1" applyAlignment="1">
      <alignment vertical="center"/>
    </xf>
    <xf numFmtId="0" fontId="7" fillId="0" borderId="49" xfId="1" applyFont="1" applyFill="1" applyBorder="1" applyAlignment="1">
      <alignment vertical="center"/>
    </xf>
    <xf numFmtId="0" fontId="7" fillId="0" borderId="81" xfId="1" applyFont="1" applyFill="1" applyBorder="1" applyAlignment="1">
      <alignment vertical="center"/>
    </xf>
    <xf numFmtId="49" fontId="7" fillId="59" borderId="48" xfId="1" applyNumberFormat="1" applyFont="1" applyFill="1" applyBorder="1" applyAlignment="1">
      <alignment horizontal="center" vertical="center"/>
    </xf>
    <xf numFmtId="49" fontId="7" fillId="59" borderId="44" xfId="1" applyNumberFormat="1" applyFont="1" applyFill="1" applyBorder="1" applyAlignment="1">
      <alignment horizontal="center" vertical="center"/>
    </xf>
    <xf numFmtId="49" fontId="7" fillId="58" borderId="43" xfId="1" applyNumberFormat="1" applyFont="1" applyFill="1" applyBorder="1" applyAlignment="1">
      <alignment horizontal="center" vertical="center"/>
    </xf>
    <xf numFmtId="49" fontId="7" fillId="58" borderId="44" xfId="1" applyNumberFormat="1" applyFont="1" applyFill="1" applyBorder="1" applyAlignment="1">
      <alignment horizontal="center" vertical="center"/>
    </xf>
    <xf numFmtId="49" fontId="7" fillId="58" borderId="81" xfId="1" applyNumberFormat="1" applyFont="1" applyFill="1" applyBorder="1" applyAlignment="1">
      <alignment horizontal="center" vertical="center"/>
    </xf>
    <xf numFmtId="0" fontId="7" fillId="0" borderId="79" xfId="1" applyFont="1" applyFill="1" applyBorder="1" applyAlignment="1">
      <alignment vertical="center"/>
    </xf>
    <xf numFmtId="0" fontId="7" fillId="0" borderId="42" xfId="1" applyFont="1" applyFill="1" applyBorder="1" applyAlignment="1">
      <alignment vertical="center"/>
    </xf>
    <xf numFmtId="0" fontId="7" fillId="0" borderId="82" xfId="1" applyFont="1" applyFill="1" applyBorder="1" applyAlignment="1">
      <alignment vertical="center"/>
    </xf>
    <xf numFmtId="49" fontId="7" fillId="58" borderId="79" xfId="1" applyNumberFormat="1" applyFont="1" applyFill="1" applyBorder="1" applyAlignment="1">
      <alignment horizontal="center" vertical="center"/>
    </xf>
    <xf numFmtId="49" fontId="7" fillId="59" borderId="41" xfId="1" applyNumberFormat="1" applyFont="1" applyFill="1" applyBorder="1" applyAlignment="1">
      <alignment horizontal="center" vertical="center"/>
    </xf>
    <xf numFmtId="49" fontId="7" fillId="59" borderId="46" xfId="1" applyNumberFormat="1" applyFont="1" applyFill="1" applyBorder="1" applyAlignment="1">
      <alignment horizontal="center" vertical="center"/>
    </xf>
    <xf numFmtId="49" fontId="3" fillId="24" borderId="51" xfId="702" applyNumberFormat="1" applyFont="1" applyFill="1" applyBorder="1" applyAlignment="1">
      <alignment horizontal="center" vertical="center"/>
    </xf>
    <xf numFmtId="49" fontId="3" fillId="24" borderId="54" xfId="702" applyNumberFormat="1" applyFont="1" applyFill="1" applyBorder="1" applyAlignment="1">
      <alignment horizontal="center" vertical="center"/>
    </xf>
    <xf numFmtId="0" fontId="3" fillId="24" borderId="59" xfId="702" applyFont="1" applyFill="1" applyBorder="1" applyAlignment="1">
      <alignment horizontal="center" vertical="center"/>
    </xf>
    <xf numFmtId="0" fontId="3" fillId="24" borderId="63" xfId="702" applyFont="1" applyFill="1" applyBorder="1" applyAlignment="1">
      <alignment horizontal="center" vertical="center"/>
    </xf>
    <xf numFmtId="0" fontId="3" fillId="24" borderId="47" xfId="702" applyFont="1" applyFill="1" applyBorder="1" applyAlignment="1">
      <alignment horizontal="center" vertical="center"/>
    </xf>
    <xf numFmtId="0" fontId="3" fillId="24" borderId="0" xfId="702" applyFont="1" applyFill="1" applyBorder="1" applyAlignment="1">
      <alignment horizontal="center" vertical="center"/>
    </xf>
    <xf numFmtId="0" fontId="7" fillId="0" borderId="41" xfId="1" applyFont="1" applyFill="1" applyBorder="1" applyAlignment="1">
      <alignment horizontal="left" vertical="center" shrinkToFit="1"/>
    </xf>
    <xf numFmtId="0" fontId="7" fillId="0" borderId="42" xfId="1" applyFont="1" applyFill="1" applyBorder="1" applyAlignment="1">
      <alignment horizontal="left" vertical="center" shrinkToFit="1"/>
    </xf>
    <xf numFmtId="0" fontId="7" fillId="0" borderId="82" xfId="1" applyFont="1" applyFill="1" applyBorder="1" applyAlignment="1">
      <alignment horizontal="left" vertical="center" shrinkToFit="1"/>
    </xf>
    <xf numFmtId="0" fontId="72" fillId="58" borderId="67" xfId="1" applyFont="1" applyFill="1" applyBorder="1" applyAlignment="1">
      <alignment horizontal="center" vertical="center"/>
    </xf>
    <xf numFmtId="0" fontId="72" fillId="58" borderId="23" xfId="1" applyFont="1" applyFill="1" applyBorder="1" applyAlignment="1">
      <alignment horizontal="center" vertical="center"/>
    </xf>
    <xf numFmtId="0" fontId="7" fillId="59" borderId="28" xfId="1" applyFont="1" applyFill="1" applyBorder="1" applyAlignment="1">
      <alignment horizontal="center" vertical="center"/>
    </xf>
    <xf numFmtId="49" fontId="3" fillId="24" borderId="62" xfId="702" applyNumberFormat="1" applyFont="1" applyFill="1" applyBorder="1" applyAlignment="1">
      <alignment horizontal="center" vertical="center"/>
    </xf>
    <xf numFmtId="0" fontId="7" fillId="0" borderId="47" xfId="1" applyFont="1" applyBorder="1" applyAlignment="1">
      <alignment horizontal="center" vertical="center" textRotation="255" shrinkToFit="1"/>
    </xf>
    <xf numFmtId="0" fontId="7" fillId="0" borderId="64" xfId="1" applyFont="1" applyBorder="1" applyAlignment="1">
      <alignment horizontal="center" vertical="center" textRotation="255" shrinkToFit="1"/>
    </xf>
    <xf numFmtId="0" fontId="7" fillId="0" borderId="44" xfId="1" applyFont="1" applyFill="1" applyBorder="1" applyAlignment="1">
      <alignment horizontal="left" vertical="center" shrinkToFit="1"/>
    </xf>
    <xf numFmtId="0" fontId="7" fillId="0" borderId="80" xfId="1" applyFont="1" applyFill="1" applyBorder="1" applyAlignment="1">
      <alignment horizontal="left" vertical="center" shrinkToFit="1"/>
    </xf>
    <xf numFmtId="0" fontId="7" fillId="0" borderId="19" xfId="1" applyFont="1" applyFill="1" applyBorder="1" applyAlignment="1">
      <alignment horizontal="left" vertical="center" shrinkToFit="1"/>
    </xf>
    <xf numFmtId="0" fontId="7" fillId="0" borderId="65" xfId="1" applyFont="1" applyFill="1" applyBorder="1" applyAlignment="1">
      <alignment horizontal="left" vertical="center" shrinkToFit="1"/>
    </xf>
    <xf numFmtId="0" fontId="7" fillId="0" borderId="52" xfId="1" applyFont="1" applyFill="1" applyBorder="1" applyAlignment="1">
      <alignment horizontal="left" vertical="center" shrinkToFit="1"/>
    </xf>
    <xf numFmtId="0" fontId="7" fillId="0" borderId="63" xfId="1" applyFont="1" applyFill="1" applyBorder="1" applyAlignment="1">
      <alignment horizontal="left" vertical="center" shrinkToFit="1"/>
    </xf>
    <xf numFmtId="0" fontId="7" fillId="0" borderId="60" xfId="1" applyFont="1" applyFill="1" applyBorder="1" applyAlignment="1">
      <alignment horizontal="left" vertical="center" shrinkToFit="1"/>
    </xf>
    <xf numFmtId="0" fontId="7" fillId="0" borderId="67" xfId="1" applyFont="1" applyFill="1" applyBorder="1" applyAlignment="1">
      <alignment horizontal="center" vertical="center"/>
    </xf>
    <xf numFmtId="0" fontId="7" fillId="0" borderId="28" xfId="1" applyFont="1" applyFill="1" applyBorder="1" applyAlignment="1">
      <alignment horizontal="center" vertical="center"/>
    </xf>
    <xf numFmtId="0" fontId="3" fillId="24" borderId="64" xfId="702" applyFont="1" applyFill="1" applyBorder="1" applyAlignment="1">
      <alignment horizontal="center" vertical="center"/>
    </xf>
    <xf numFmtId="49" fontId="3" fillId="24" borderId="40" xfId="702" applyNumberFormat="1" applyFont="1" applyFill="1" applyBorder="1" applyAlignment="1">
      <alignment horizontal="center" vertical="center"/>
    </xf>
    <xf numFmtId="0" fontId="3" fillId="24" borderId="60" xfId="702" applyFont="1" applyFill="1" applyBorder="1" applyAlignment="1">
      <alignment horizontal="center" vertical="center"/>
    </xf>
    <xf numFmtId="49" fontId="3" fillId="24" borderId="63" xfId="702" applyNumberFormat="1" applyFont="1" applyFill="1" applyBorder="1" applyAlignment="1">
      <alignment horizontal="center" vertical="center"/>
    </xf>
    <xf numFmtId="49" fontId="3" fillId="24" borderId="53" xfId="702" applyNumberFormat="1" applyFont="1" applyFill="1" applyBorder="1" applyAlignment="1">
      <alignment horizontal="center" vertical="center"/>
    </xf>
    <xf numFmtId="49" fontId="3" fillId="24" borderId="52" xfId="702" applyNumberFormat="1" applyFont="1" applyFill="1" applyBorder="1" applyAlignment="1">
      <alignment horizontal="center" vertical="center"/>
    </xf>
    <xf numFmtId="49" fontId="3" fillId="24" borderId="60" xfId="702" applyNumberFormat="1" applyFont="1" applyFill="1" applyBorder="1" applyAlignment="1">
      <alignment horizontal="center" vertical="center"/>
    </xf>
    <xf numFmtId="0" fontId="4" fillId="24" borderId="37" xfId="704" applyFont="1" applyFill="1" applyBorder="1" applyAlignment="1">
      <alignment horizontal="center" vertical="center"/>
    </xf>
    <xf numFmtId="0" fontId="4" fillId="24" borderId="38" xfId="704" applyFont="1" applyFill="1" applyBorder="1" applyAlignment="1">
      <alignment horizontal="center" vertical="center"/>
    </xf>
    <xf numFmtId="0" fontId="4" fillId="24" borderId="39" xfId="704" applyFont="1" applyFill="1" applyBorder="1" applyAlignment="1">
      <alignment horizontal="center" vertical="center"/>
    </xf>
    <xf numFmtId="0" fontId="75" fillId="0" borderId="23" xfId="702" quotePrefix="1" applyFont="1" applyFill="1" applyBorder="1" applyAlignment="1">
      <alignment horizontal="center" vertical="center"/>
    </xf>
    <xf numFmtId="0" fontId="75" fillId="0" borderId="2" xfId="702" applyFont="1" applyFill="1" applyBorder="1" applyAlignment="1">
      <alignment horizontal="center" vertical="center"/>
    </xf>
    <xf numFmtId="0" fontId="75" fillId="0" borderId="24" xfId="702" applyFont="1" applyFill="1" applyBorder="1" applyAlignment="1">
      <alignment horizontal="center" vertical="center"/>
    </xf>
    <xf numFmtId="179" fontId="75" fillId="0" borderId="13" xfId="702" applyNumberFormat="1" applyFont="1" applyFill="1" applyBorder="1" applyAlignment="1">
      <alignment horizontal="center" vertical="center"/>
    </xf>
    <xf numFmtId="179" fontId="75" fillId="0" borderId="14" xfId="702" applyNumberFormat="1" applyFont="1" applyFill="1" applyBorder="1" applyAlignment="1">
      <alignment horizontal="center" vertical="center"/>
    </xf>
    <xf numFmtId="179" fontId="75" fillId="0" borderId="20" xfId="702" applyNumberFormat="1" applyFont="1" applyFill="1" applyBorder="1" applyAlignment="1">
      <alignment horizontal="center" vertical="center"/>
    </xf>
    <xf numFmtId="179" fontId="75" fillId="0" borderId="23" xfId="702" applyNumberFormat="1" applyFont="1" applyFill="1" applyBorder="1" applyAlignment="1">
      <alignment horizontal="center" vertical="center"/>
    </xf>
    <xf numFmtId="179" fontId="75" fillId="0" borderId="2" xfId="702" applyNumberFormat="1" applyFont="1" applyFill="1" applyBorder="1" applyAlignment="1">
      <alignment horizontal="center" vertical="center"/>
    </xf>
    <xf numFmtId="179" fontId="75" fillId="0" borderId="24" xfId="702" applyNumberFormat="1" applyFont="1" applyFill="1" applyBorder="1" applyAlignment="1">
      <alignment horizontal="center" vertical="center"/>
    </xf>
    <xf numFmtId="0" fontId="75" fillId="0" borderId="23" xfId="1" applyFont="1" applyFill="1" applyBorder="1" applyAlignment="1">
      <alignment horizontal="center" vertical="center" wrapText="1" shrinkToFit="1"/>
    </xf>
    <xf numFmtId="0" fontId="75" fillId="0" borderId="2" xfId="1" applyFont="1" applyFill="1" applyBorder="1" applyAlignment="1">
      <alignment horizontal="center" vertical="center" wrapText="1" shrinkToFit="1"/>
    </xf>
    <xf numFmtId="0" fontId="75" fillId="0" borderId="24" xfId="1" applyFont="1" applyFill="1" applyBorder="1" applyAlignment="1">
      <alignment horizontal="center" vertical="center" wrapText="1" shrinkToFit="1"/>
    </xf>
    <xf numFmtId="0" fontId="75" fillId="0" borderId="23" xfId="1" applyFont="1" applyFill="1" applyBorder="1" applyAlignment="1">
      <alignment horizontal="center" vertical="center" shrinkToFit="1"/>
    </xf>
    <xf numFmtId="0" fontId="75" fillId="0" borderId="2" xfId="1" applyFont="1" applyFill="1" applyBorder="1" applyAlignment="1">
      <alignment horizontal="center" vertical="center" shrinkToFit="1"/>
    </xf>
    <xf numFmtId="0" fontId="75" fillId="0" borderId="24" xfId="1" applyFont="1" applyFill="1" applyBorder="1" applyAlignment="1">
      <alignment horizontal="center" vertical="center" shrinkToFit="1"/>
    </xf>
    <xf numFmtId="0" fontId="75" fillId="60" borderId="15" xfId="702" applyFont="1" applyFill="1" applyBorder="1" applyAlignment="1">
      <alignment horizontal="center" vertical="center" wrapText="1"/>
    </xf>
    <xf numFmtId="0" fontId="75" fillId="60" borderId="12" xfId="702" applyFont="1" applyFill="1" applyBorder="1" applyAlignment="1">
      <alignment horizontal="center" vertical="center"/>
    </xf>
    <xf numFmtId="0" fontId="75" fillId="60" borderId="19" xfId="702" applyFont="1" applyFill="1" applyBorder="1" applyAlignment="1">
      <alignment horizontal="center" vertical="center"/>
    </xf>
    <xf numFmtId="0" fontId="75" fillId="60" borderId="21" xfId="702" applyFont="1" applyFill="1" applyBorder="1" applyAlignment="1">
      <alignment horizontal="center" vertical="center"/>
    </xf>
    <xf numFmtId="0" fontId="75" fillId="60" borderId="0" xfId="702" applyFont="1" applyFill="1" applyBorder="1" applyAlignment="1">
      <alignment horizontal="center" vertical="center"/>
    </xf>
    <xf numFmtId="0" fontId="75" fillId="60" borderId="22" xfId="702" applyFont="1" applyFill="1" applyBorder="1" applyAlignment="1">
      <alignment horizontal="center" vertical="center"/>
    </xf>
    <xf numFmtId="0" fontId="75" fillId="60" borderId="13" xfId="702" applyFont="1" applyFill="1" applyBorder="1" applyAlignment="1">
      <alignment horizontal="center" vertical="center"/>
    </xf>
    <xf numFmtId="0" fontId="75" fillId="60" borderId="14" xfId="702" applyFont="1" applyFill="1" applyBorder="1" applyAlignment="1">
      <alignment horizontal="center" vertical="center"/>
    </xf>
    <xf numFmtId="0" fontId="75" fillId="60" borderId="20" xfId="702" applyFont="1" applyFill="1" applyBorder="1" applyAlignment="1">
      <alignment horizontal="center" vertical="center"/>
    </xf>
    <xf numFmtId="49" fontId="75" fillId="60" borderId="15" xfId="702" applyNumberFormat="1" applyFont="1" applyFill="1" applyBorder="1" applyAlignment="1">
      <alignment horizontal="center" vertical="center"/>
    </xf>
    <xf numFmtId="49" fontId="75" fillId="60" borderId="12" xfId="702" applyNumberFormat="1" applyFont="1" applyFill="1" applyBorder="1" applyAlignment="1">
      <alignment horizontal="center" vertical="center"/>
    </xf>
    <xf numFmtId="49" fontId="75" fillId="60" borderId="19" xfId="702" applyNumberFormat="1" applyFont="1" applyFill="1" applyBorder="1" applyAlignment="1">
      <alignment horizontal="center" vertical="center"/>
    </xf>
    <xf numFmtId="49" fontId="75" fillId="60" borderId="21" xfId="702" applyNumberFormat="1" applyFont="1" applyFill="1" applyBorder="1" applyAlignment="1">
      <alignment horizontal="center" vertical="center"/>
    </xf>
    <xf numFmtId="49" fontId="75" fillId="60" borderId="0" xfId="702" applyNumberFormat="1" applyFont="1" applyFill="1" applyBorder="1" applyAlignment="1">
      <alignment horizontal="center" vertical="center"/>
    </xf>
    <xf numFmtId="49" fontId="75" fillId="60" borderId="22" xfId="702" applyNumberFormat="1" applyFont="1" applyFill="1" applyBorder="1" applyAlignment="1">
      <alignment horizontal="center" vertical="center"/>
    </xf>
    <xf numFmtId="49" fontId="75" fillId="60" borderId="13" xfId="702" applyNumberFormat="1" applyFont="1" applyFill="1" applyBorder="1" applyAlignment="1">
      <alignment horizontal="center" vertical="center"/>
    </xf>
    <xf numFmtId="49" fontId="75" fillId="60" borderId="14" xfId="702" applyNumberFormat="1" applyFont="1" applyFill="1" applyBorder="1" applyAlignment="1">
      <alignment horizontal="center" vertical="center"/>
    </xf>
    <xf numFmtId="49" fontId="75" fillId="60" borderId="20" xfId="702" applyNumberFormat="1" applyFont="1" applyFill="1" applyBorder="1" applyAlignment="1">
      <alignment horizontal="center" vertical="center"/>
    </xf>
    <xf numFmtId="0" fontId="75" fillId="62" borderId="15" xfId="702" applyFont="1" applyFill="1" applyBorder="1" applyAlignment="1">
      <alignment horizontal="center" vertical="center"/>
    </xf>
    <xf numFmtId="0" fontId="75" fillId="62" borderId="12" xfId="702" applyFont="1" applyFill="1" applyBorder="1" applyAlignment="1">
      <alignment horizontal="center" vertical="center"/>
    </xf>
    <xf numFmtId="0" fontId="75" fillId="62" borderId="19" xfId="702" applyFont="1" applyFill="1" applyBorder="1" applyAlignment="1">
      <alignment horizontal="center" vertical="center"/>
    </xf>
    <xf numFmtId="0" fontId="75" fillId="62" borderId="21" xfId="702" applyFont="1" applyFill="1" applyBorder="1" applyAlignment="1">
      <alignment horizontal="center" vertical="center"/>
    </xf>
    <xf numFmtId="0" fontId="75" fillId="62" borderId="0" xfId="702" applyFont="1" applyFill="1" applyBorder="1" applyAlignment="1">
      <alignment horizontal="center" vertical="center"/>
    </xf>
    <xf numFmtId="0" fontId="75" fillId="62" borderId="22" xfId="702" applyFont="1" applyFill="1" applyBorder="1" applyAlignment="1">
      <alignment horizontal="center" vertical="center"/>
    </xf>
    <xf numFmtId="0" fontId="75" fillId="62" borderId="13" xfId="702" applyFont="1" applyFill="1" applyBorder="1" applyAlignment="1">
      <alignment horizontal="center" vertical="center"/>
    </xf>
    <xf numFmtId="0" fontId="75" fillId="62" borderId="14" xfId="702" applyFont="1" applyFill="1" applyBorder="1" applyAlignment="1">
      <alignment horizontal="center" vertical="center"/>
    </xf>
    <xf numFmtId="0" fontId="75" fillId="62" borderId="20" xfId="702" applyFont="1" applyFill="1" applyBorder="1" applyAlignment="1">
      <alignment horizontal="center" vertical="center"/>
    </xf>
    <xf numFmtId="0" fontId="75" fillId="61" borderId="15" xfId="702" applyFont="1" applyFill="1" applyBorder="1" applyAlignment="1">
      <alignment horizontal="center" vertical="center"/>
    </xf>
    <xf numFmtId="0" fontId="75" fillId="61" borderId="12" xfId="702" applyFont="1" applyFill="1" applyBorder="1" applyAlignment="1">
      <alignment horizontal="center" vertical="center"/>
    </xf>
    <xf numFmtId="0" fontId="75" fillId="61" borderId="19" xfId="702" applyFont="1" applyFill="1" applyBorder="1" applyAlignment="1">
      <alignment horizontal="center" vertical="center"/>
    </xf>
    <xf numFmtId="0" fontId="75" fillId="61" borderId="21" xfId="702" applyFont="1" applyFill="1" applyBorder="1" applyAlignment="1">
      <alignment horizontal="center" vertical="center"/>
    </xf>
    <xf numFmtId="0" fontId="75" fillId="61" borderId="0" xfId="702" applyFont="1" applyFill="1" applyBorder="1" applyAlignment="1">
      <alignment horizontal="center" vertical="center"/>
    </xf>
    <xf numFmtId="0" fontId="75" fillId="61" borderId="22" xfId="702" applyFont="1" applyFill="1" applyBorder="1" applyAlignment="1">
      <alignment horizontal="center" vertical="center"/>
    </xf>
    <xf numFmtId="0" fontId="75" fillId="61" borderId="13" xfId="702" applyFont="1" applyFill="1" applyBorder="1" applyAlignment="1">
      <alignment horizontal="center" vertical="center"/>
    </xf>
    <xf numFmtId="0" fontId="75" fillId="61" borderId="14" xfId="702" applyFont="1" applyFill="1" applyBorder="1" applyAlignment="1">
      <alignment horizontal="center" vertical="center"/>
    </xf>
    <xf numFmtId="0" fontId="75" fillId="61" borderId="20" xfId="702" applyFont="1" applyFill="1" applyBorder="1" applyAlignment="1">
      <alignment horizontal="center" vertical="center"/>
    </xf>
    <xf numFmtId="14" fontId="74" fillId="0" borderId="28" xfId="1" applyNumberFormat="1" applyFont="1" applyBorder="1" applyAlignment="1">
      <alignment horizontal="center" vertical="center"/>
    </xf>
    <xf numFmtId="0" fontId="74" fillId="0" borderId="28" xfId="1" applyFont="1" applyBorder="1" applyAlignment="1">
      <alignment horizontal="center" vertical="center"/>
    </xf>
    <xf numFmtId="0" fontId="75" fillId="63" borderId="15" xfId="702" applyFont="1" applyFill="1" applyBorder="1" applyAlignment="1">
      <alignment horizontal="center" vertical="center"/>
    </xf>
    <xf numFmtId="0" fontId="75" fillId="63" borderId="12" xfId="702" applyFont="1" applyFill="1" applyBorder="1" applyAlignment="1">
      <alignment horizontal="center" vertical="center"/>
    </xf>
    <xf numFmtId="0" fontId="75" fillId="63" borderId="19" xfId="702" applyFont="1" applyFill="1" applyBorder="1" applyAlignment="1">
      <alignment horizontal="center" vertical="center"/>
    </xf>
    <xf numFmtId="0" fontId="75" fillId="63" borderId="21" xfId="702" applyFont="1" applyFill="1" applyBorder="1" applyAlignment="1">
      <alignment horizontal="center" vertical="center"/>
    </xf>
    <xf numFmtId="0" fontId="75" fillId="63" borderId="0" xfId="702" applyFont="1" applyFill="1" applyBorder="1" applyAlignment="1">
      <alignment horizontal="center" vertical="center"/>
    </xf>
    <xf numFmtId="0" fontId="75" fillId="63" borderId="22" xfId="702" applyFont="1" applyFill="1" applyBorder="1" applyAlignment="1">
      <alignment horizontal="center" vertical="center"/>
    </xf>
    <xf numFmtId="0" fontId="75" fillId="63" borderId="13" xfId="702" applyFont="1" applyFill="1" applyBorder="1" applyAlignment="1">
      <alignment horizontal="center" vertical="center"/>
    </xf>
    <xf numFmtId="0" fontId="75" fillId="63" borderId="14" xfId="702" applyFont="1" applyFill="1" applyBorder="1" applyAlignment="1">
      <alignment horizontal="center" vertical="center"/>
    </xf>
    <xf numFmtId="0" fontId="75" fillId="63" borderId="20" xfId="702" applyFont="1" applyFill="1" applyBorder="1" applyAlignment="1">
      <alignment horizontal="center" vertical="center"/>
    </xf>
    <xf numFmtId="0" fontId="75" fillId="0" borderId="28" xfId="702" quotePrefix="1" applyFont="1" applyFill="1" applyBorder="1" applyAlignment="1">
      <alignment horizontal="center" vertical="center"/>
    </xf>
    <xf numFmtId="0" fontId="75" fillId="0" borderId="65" xfId="702" quotePrefix="1" applyFont="1" applyFill="1" applyBorder="1" applyAlignment="1">
      <alignment horizontal="center" vertical="center"/>
    </xf>
    <xf numFmtId="0" fontId="75" fillId="0" borderId="45" xfId="702" quotePrefix="1" applyFont="1" applyFill="1" applyBorder="1" applyAlignment="1">
      <alignment horizontal="center" vertical="center"/>
    </xf>
    <xf numFmtId="0" fontId="74" fillId="0" borderId="28" xfId="1" applyFont="1" applyBorder="1" applyAlignment="1">
      <alignment horizontal="center" vertical="center" wrapText="1"/>
    </xf>
    <xf numFmtId="0" fontId="74" fillId="0" borderId="28" xfId="1" applyFont="1" applyBorder="1" applyAlignment="1">
      <alignment horizontal="left" vertical="center" wrapText="1"/>
    </xf>
    <xf numFmtId="0" fontId="74" fillId="0" borderId="28" xfId="1" applyFont="1" applyBorder="1" applyAlignment="1">
      <alignment horizontal="left" vertical="center"/>
    </xf>
    <xf numFmtId="0" fontId="75" fillId="65" borderId="28" xfId="702" applyFont="1" applyFill="1" applyBorder="1" applyAlignment="1">
      <alignment horizontal="center" vertical="center"/>
    </xf>
    <xf numFmtId="0" fontId="75" fillId="65" borderId="15" xfId="702" applyFont="1" applyFill="1" applyBorder="1" applyAlignment="1">
      <alignment horizontal="center" vertical="center"/>
    </xf>
    <xf numFmtId="0" fontId="75" fillId="65" borderId="12" xfId="702" applyFont="1" applyFill="1" applyBorder="1" applyAlignment="1">
      <alignment horizontal="center" vertical="center"/>
    </xf>
    <xf numFmtId="0" fontId="75" fillId="65" borderId="19" xfId="702" applyFont="1" applyFill="1" applyBorder="1" applyAlignment="1">
      <alignment horizontal="center" vertical="center"/>
    </xf>
    <xf numFmtId="0" fontId="75" fillId="65" borderId="13" xfId="702" applyFont="1" applyFill="1" applyBorder="1" applyAlignment="1">
      <alignment horizontal="center" vertical="center"/>
    </xf>
    <xf numFmtId="0" fontId="75" fillId="65" borderId="14" xfId="702" applyFont="1" applyFill="1" applyBorder="1" applyAlignment="1">
      <alignment horizontal="center" vertical="center"/>
    </xf>
    <xf numFmtId="0" fontId="75" fillId="65" borderId="20" xfId="702" applyFont="1" applyFill="1" applyBorder="1" applyAlignment="1">
      <alignment horizontal="center" vertical="center"/>
    </xf>
    <xf numFmtId="0" fontId="75" fillId="61" borderId="28" xfId="702" applyFont="1" applyFill="1" applyBorder="1" applyAlignment="1">
      <alignment horizontal="center" vertical="center"/>
    </xf>
    <xf numFmtId="0" fontId="75" fillId="64" borderId="15" xfId="702" applyFont="1" applyFill="1" applyBorder="1" applyAlignment="1">
      <alignment horizontal="center" vertical="center" wrapText="1"/>
    </xf>
    <xf numFmtId="0" fontId="75" fillId="64" borderId="19" xfId="702" applyFont="1" applyFill="1" applyBorder="1" applyAlignment="1">
      <alignment horizontal="center" vertical="center" wrapText="1"/>
    </xf>
    <xf numFmtId="0" fontId="75" fillId="64" borderId="13" xfId="702" applyFont="1" applyFill="1" applyBorder="1" applyAlignment="1">
      <alignment horizontal="center" vertical="center" wrapText="1"/>
    </xf>
    <xf numFmtId="0" fontId="75" fillId="64" borderId="20" xfId="702" applyFont="1" applyFill="1" applyBorder="1" applyAlignment="1">
      <alignment horizontal="center" vertical="center" wrapText="1"/>
    </xf>
    <xf numFmtId="0" fontId="75" fillId="25" borderId="15" xfId="702" applyFont="1" applyFill="1" applyBorder="1" applyAlignment="1">
      <alignment horizontal="center" vertical="center" wrapText="1"/>
    </xf>
    <xf numFmtId="0" fontId="75" fillId="25" borderId="19" xfId="702" applyFont="1" applyFill="1" applyBorder="1" applyAlignment="1">
      <alignment horizontal="center" vertical="center" wrapText="1"/>
    </xf>
    <xf numFmtId="0" fontId="75" fillId="25" borderId="13" xfId="702" applyFont="1" applyFill="1" applyBorder="1" applyAlignment="1">
      <alignment horizontal="center" vertical="center" wrapText="1"/>
    </xf>
    <xf numFmtId="0" fontId="75" fillId="25" borderId="20" xfId="702" applyFont="1" applyFill="1" applyBorder="1" applyAlignment="1">
      <alignment horizontal="center" vertical="center" wrapText="1"/>
    </xf>
    <xf numFmtId="181" fontId="75" fillId="0" borderId="23" xfId="702" applyNumberFormat="1" applyFont="1" applyFill="1" applyBorder="1" applyAlignment="1">
      <alignment horizontal="center" vertical="center"/>
    </xf>
    <xf numFmtId="181" fontId="75" fillId="0" borderId="2" xfId="702" applyNumberFormat="1" applyFont="1" applyFill="1" applyBorder="1" applyAlignment="1">
      <alignment horizontal="center" vertical="center"/>
    </xf>
    <xf numFmtId="181" fontId="75" fillId="0" borderId="24" xfId="702" applyNumberFormat="1" applyFont="1" applyFill="1" applyBorder="1" applyAlignment="1">
      <alignment horizontal="center" vertical="center"/>
    </xf>
    <xf numFmtId="0" fontId="75" fillId="60" borderId="19" xfId="702" applyFont="1" applyFill="1" applyBorder="1" applyAlignment="1">
      <alignment horizontal="center" vertical="center" wrapText="1"/>
    </xf>
    <xf numFmtId="0" fontId="75" fillId="60" borderId="21" xfId="702" applyFont="1" applyFill="1" applyBorder="1" applyAlignment="1">
      <alignment horizontal="center" vertical="center" wrapText="1"/>
    </xf>
    <xf numFmtId="0" fontId="75" fillId="60" borderId="22" xfId="702" applyFont="1" applyFill="1" applyBorder="1" applyAlignment="1">
      <alignment horizontal="center" vertical="center" wrapText="1"/>
    </xf>
    <xf numFmtId="0" fontId="75" fillId="60" borderId="13" xfId="702" applyFont="1" applyFill="1" applyBorder="1" applyAlignment="1">
      <alignment horizontal="center" vertical="center" wrapText="1"/>
    </xf>
    <xf numFmtId="0" fontId="75" fillId="60" borderId="20" xfId="702" applyFont="1" applyFill="1" applyBorder="1" applyAlignment="1">
      <alignment horizontal="center" vertical="center" wrapText="1"/>
    </xf>
    <xf numFmtId="0" fontId="75" fillId="0" borderId="23" xfId="1" applyFont="1" applyFill="1" applyBorder="1" applyAlignment="1">
      <alignment horizontal="left" vertical="center" wrapText="1" shrinkToFit="1"/>
    </xf>
    <xf numFmtId="0" fontId="75" fillId="0" borderId="2" xfId="1" applyFont="1" applyFill="1" applyBorder="1" applyAlignment="1">
      <alignment horizontal="left" vertical="center" wrapText="1" shrinkToFit="1"/>
    </xf>
    <xf numFmtId="0" fontId="75" fillId="0" borderId="24" xfId="1" applyFont="1" applyFill="1" applyBorder="1" applyAlignment="1">
      <alignment horizontal="left" vertical="center" wrapText="1" shrinkToFit="1"/>
    </xf>
    <xf numFmtId="179" fontId="75" fillId="0" borderId="23" xfId="702" applyNumberFormat="1" applyFont="1" applyFill="1" applyBorder="1" applyAlignment="1">
      <alignment horizontal="left" vertical="center" wrapText="1"/>
    </xf>
    <xf numFmtId="179" fontId="75" fillId="0" borderId="2" xfId="702" applyNumberFormat="1" applyFont="1" applyFill="1" applyBorder="1" applyAlignment="1">
      <alignment horizontal="left" vertical="center" wrapText="1"/>
    </xf>
    <xf numFmtId="179" fontId="75" fillId="0" borderId="24" xfId="702" applyNumberFormat="1" applyFont="1" applyFill="1" applyBorder="1" applyAlignment="1">
      <alignment horizontal="left" vertical="center" wrapText="1"/>
    </xf>
    <xf numFmtId="0" fontId="75" fillId="60" borderId="23" xfId="702" applyFont="1" applyFill="1" applyBorder="1" applyAlignment="1">
      <alignment horizontal="center" vertical="center" wrapText="1"/>
    </xf>
    <xf numFmtId="0" fontId="75" fillId="60" borderId="2" xfId="702" applyFont="1" applyFill="1" applyBorder="1" applyAlignment="1">
      <alignment horizontal="center" vertical="center" wrapText="1"/>
    </xf>
    <xf numFmtId="0" fontId="75" fillId="60" borderId="24" xfId="702" applyFont="1" applyFill="1" applyBorder="1" applyAlignment="1">
      <alignment horizontal="center" vertical="center" wrapText="1"/>
    </xf>
    <xf numFmtId="0" fontId="79" fillId="0" borderId="23" xfId="1" applyFont="1" applyBorder="1" applyAlignment="1">
      <alignment horizontal="center" vertical="center"/>
    </xf>
    <xf numFmtId="0" fontId="79" fillId="0" borderId="55" xfId="1" applyFont="1" applyBorder="1" applyAlignment="1">
      <alignment horizontal="center" vertical="center"/>
    </xf>
    <xf numFmtId="176" fontId="79" fillId="0" borderId="56" xfId="1" applyNumberFormat="1" applyFont="1" applyBorder="1" applyAlignment="1">
      <alignment horizontal="center" vertical="center"/>
    </xf>
    <xf numFmtId="176" fontId="79" fillId="0" borderId="24" xfId="1" applyNumberFormat="1" applyFont="1" applyBorder="1" applyAlignment="1">
      <alignment horizontal="center" vertical="center"/>
    </xf>
    <xf numFmtId="0" fontId="79" fillId="0" borderId="16" xfId="1" applyFont="1" applyBorder="1" applyAlignment="1">
      <alignment horizontal="center" vertical="center"/>
    </xf>
    <xf numFmtId="0" fontId="79" fillId="0" borderId="18" xfId="1" applyFont="1" applyBorder="1" applyAlignment="1">
      <alignment horizontal="center" vertical="center"/>
    </xf>
    <xf numFmtId="2" fontId="76" fillId="0" borderId="37" xfId="1" applyNumberFormat="1" applyFont="1" applyBorder="1" applyAlignment="1">
      <alignment horizontal="center" vertical="center"/>
    </xf>
    <xf numFmtId="2" fontId="76" fillId="0" borderId="39" xfId="1" applyNumberFormat="1" applyFont="1" applyBorder="1" applyAlignment="1">
      <alignment horizontal="center" vertical="center"/>
    </xf>
    <xf numFmtId="0" fontId="78" fillId="0" borderId="12" xfId="1" applyFont="1" applyBorder="1" applyAlignment="1">
      <alignment horizontal="left" vertical="center" wrapText="1"/>
    </xf>
    <xf numFmtId="0" fontId="78" fillId="0" borderId="14" xfId="1" applyFont="1" applyBorder="1" applyAlignment="1">
      <alignment horizontal="left" vertical="center" wrapText="1"/>
    </xf>
    <xf numFmtId="0" fontId="77" fillId="0" borderId="15" xfId="1" applyFont="1" applyFill="1" applyBorder="1" applyAlignment="1">
      <alignment horizontal="left" vertical="center"/>
    </xf>
    <xf numFmtId="0" fontId="77" fillId="0" borderId="12" xfId="1" applyFont="1" applyFill="1" applyBorder="1" applyAlignment="1">
      <alignment horizontal="left" vertical="center"/>
    </xf>
    <xf numFmtId="0" fontId="77" fillId="0" borderId="19" xfId="1" applyFont="1" applyFill="1" applyBorder="1" applyAlignment="1">
      <alignment horizontal="left" vertical="center"/>
    </xf>
    <xf numFmtId="0" fontId="76" fillId="0" borderId="13" xfId="1" applyFont="1" applyFill="1" applyBorder="1" applyAlignment="1">
      <alignment horizontal="left" vertical="center" shrinkToFit="1"/>
    </xf>
    <xf numFmtId="0" fontId="76" fillId="0" borderId="14" xfId="1" applyFont="1" applyFill="1" applyBorder="1" applyAlignment="1">
      <alignment horizontal="left" vertical="center" shrinkToFit="1"/>
    </xf>
    <xf numFmtId="0" fontId="76" fillId="0" borderId="20" xfId="1" applyFont="1" applyFill="1" applyBorder="1" applyAlignment="1">
      <alignment horizontal="left" vertical="center" shrinkToFit="1"/>
    </xf>
    <xf numFmtId="0" fontId="81" fillId="66" borderId="16" xfId="704" applyFont="1" applyFill="1" applyBorder="1" applyAlignment="1">
      <alignment horizontal="center" vertical="center"/>
    </xf>
    <xf numFmtId="0" fontId="81" fillId="66" borderId="18" xfId="704" applyFont="1" applyFill="1" applyBorder="1" applyAlignment="1">
      <alignment horizontal="center" vertical="center"/>
    </xf>
    <xf numFmtId="0" fontId="81" fillId="66" borderId="45" xfId="704" applyFont="1" applyFill="1" applyBorder="1" applyAlignment="1">
      <alignment horizontal="center" vertical="center"/>
    </xf>
    <xf numFmtId="0" fontId="81" fillId="0" borderId="28" xfId="704" applyFont="1" applyFill="1" applyBorder="1" applyAlignment="1">
      <alignment horizontal="center" vertical="center"/>
    </xf>
    <xf numFmtId="0" fontId="26" fillId="25" borderId="23" xfId="1" applyFont="1" applyFill="1" applyBorder="1" applyAlignment="1" applyProtection="1">
      <alignment horizontal="center"/>
      <protection hidden="1"/>
    </xf>
    <xf numFmtId="0" fontId="26" fillId="25" borderId="2" xfId="1" applyFont="1" applyFill="1" applyBorder="1" applyAlignment="1" applyProtection="1">
      <alignment horizontal="center"/>
      <protection hidden="1"/>
    </xf>
    <xf numFmtId="0" fontId="26" fillId="25" borderId="24" xfId="1" applyFont="1" applyFill="1" applyBorder="1" applyAlignment="1" applyProtection="1">
      <alignment horizontal="center"/>
      <protection hidden="1"/>
    </xf>
    <xf numFmtId="14" fontId="25" fillId="0" borderId="15" xfId="1" applyNumberFormat="1" applyFont="1" applyBorder="1" applyAlignment="1" applyProtection="1">
      <alignment horizontal="center" vertical="center"/>
      <protection locked="0"/>
    </xf>
    <xf numFmtId="0" fontId="25" fillId="0" borderId="19" xfId="1" applyFont="1" applyBorder="1" applyAlignment="1" applyProtection="1">
      <alignment horizontal="center" vertical="center"/>
      <protection locked="0"/>
    </xf>
    <xf numFmtId="0" fontId="25" fillId="0" borderId="13" xfId="1" applyFont="1" applyBorder="1" applyAlignment="1" applyProtection="1">
      <alignment horizontal="center" vertical="center"/>
      <protection locked="0"/>
    </xf>
    <xf numFmtId="0" fontId="25" fillId="0" borderId="20" xfId="1" applyFont="1" applyBorder="1" applyAlignment="1" applyProtection="1">
      <alignment horizontal="center" vertical="center"/>
      <protection locked="0"/>
    </xf>
    <xf numFmtId="0" fontId="25" fillId="0" borderId="23" xfId="1" applyFont="1" applyBorder="1" applyAlignment="1">
      <alignment horizontal="center"/>
    </xf>
    <xf numFmtId="0" fontId="25" fillId="0" borderId="2" xfId="1" applyFont="1" applyBorder="1" applyAlignment="1">
      <alignment horizontal="center"/>
    </xf>
    <xf numFmtId="0" fontId="25" fillId="0" borderId="24" xfId="1" applyFont="1" applyBorder="1" applyAlignment="1">
      <alignment horizontal="center"/>
    </xf>
    <xf numFmtId="49" fontId="7" fillId="0" borderId="23" xfId="1" applyNumberFormat="1" applyFont="1" applyFill="1" applyBorder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49" fontId="7" fillId="0" borderId="23" xfId="1" quotePrefix="1" applyNumberFormat="1" applyFont="1" applyFill="1" applyBorder="1" applyAlignment="1">
      <alignment horizontal="center" vertical="center" wrapText="1"/>
    </xf>
    <xf numFmtId="0" fontId="28" fillId="0" borderId="2" xfId="1" applyFont="1" applyBorder="1" applyAlignment="1">
      <alignment horizontal="center" vertical="center" wrapText="1"/>
    </xf>
    <xf numFmtId="0" fontId="28" fillId="0" borderId="24" xfId="1" applyFont="1" applyBorder="1" applyAlignment="1">
      <alignment horizontal="center" vertical="center" wrapText="1"/>
    </xf>
    <xf numFmtId="0" fontId="3" fillId="0" borderId="23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24" xfId="1" applyFont="1" applyFill="1" applyBorder="1" applyAlignment="1">
      <alignment horizontal="center" vertical="center"/>
    </xf>
    <xf numFmtId="0" fontId="24" fillId="0" borderId="28" xfId="1" applyFont="1" applyBorder="1" applyAlignment="1">
      <alignment horizontal="left" vertical="center"/>
    </xf>
    <xf numFmtId="0" fontId="24" fillId="0" borderId="28" xfId="1" applyFont="1" applyBorder="1" applyAlignment="1">
      <alignment horizontal="left" vertical="center" wrapText="1"/>
    </xf>
    <xf numFmtId="49" fontId="7" fillId="0" borderId="23" xfId="1" quotePrefix="1" applyNumberFormat="1" applyFont="1" applyFill="1" applyBorder="1" applyAlignment="1">
      <alignment horizontal="left" vertical="center" wrapText="1"/>
    </xf>
    <xf numFmtId="0" fontId="28" fillId="0" borderId="2" xfId="1" applyFont="1" applyBorder="1" applyAlignment="1">
      <alignment horizontal="left" vertical="center" wrapText="1"/>
    </xf>
    <xf numFmtId="0" fontId="28" fillId="0" borderId="24" xfId="1" applyFont="1" applyBorder="1" applyAlignment="1">
      <alignment horizontal="left" vertical="center" wrapText="1"/>
    </xf>
    <xf numFmtId="49" fontId="7" fillId="24" borderId="23" xfId="1" applyNumberFormat="1" applyFont="1" applyFill="1" applyBorder="1" applyAlignment="1">
      <alignment horizontal="center" vertical="center"/>
    </xf>
    <xf numFmtId="49" fontId="7" fillId="24" borderId="2" xfId="1" applyNumberFormat="1" applyFont="1" applyFill="1" applyBorder="1" applyAlignment="1">
      <alignment horizontal="center" vertical="center"/>
    </xf>
    <xf numFmtId="49" fontId="7" fillId="24" borderId="24" xfId="1" applyNumberFormat="1" applyFont="1" applyFill="1" applyBorder="1" applyAlignment="1">
      <alignment horizontal="center" vertical="center"/>
    </xf>
    <xf numFmtId="0" fontId="7" fillId="24" borderId="23" xfId="1" applyFont="1" applyFill="1" applyBorder="1" applyAlignment="1">
      <alignment horizontal="center" vertical="center"/>
    </xf>
    <xf numFmtId="0" fontId="7" fillId="24" borderId="2" xfId="1" applyFont="1" applyFill="1" applyBorder="1" applyAlignment="1">
      <alignment horizontal="center" vertical="center"/>
    </xf>
    <xf numFmtId="0" fontId="7" fillId="24" borderId="24" xfId="1" applyFont="1" applyFill="1" applyBorder="1" applyAlignment="1">
      <alignment horizontal="center" vertical="center"/>
    </xf>
    <xf numFmtId="0" fontId="7" fillId="24" borderId="23" xfId="1" applyFont="1" applyFill="1" applyBorder="1" applyAlignment="1">
      <alignment horizontal="left" vertical="center"/>
    </xf>
    <xf numFmtId="0" fontId="7" fillId="24" borderId="2" xfId="1" applyFont="1" applyFill="1" applyBorder="1" applyAlignment="1">
      <alignment horizontal="left" vertical="center"/>
    </xf>
    <xf numFmtId="0" fontId="7" fillId="24" borderId="24" xfId="1" applyFont="1" applyFill="1" applyBorder="1" applyAlignment="1">
      <alignment horizontal="left" vertical="center"/>
    </xf>
    <xf numFmtId="0" fontId="7" fillId="0" borderId="15" xfId="1" applyNumberFormat="1" applyFont="1" applyFill="1" applyBorder="1" applyAlignment="1">
      <alignment horizontal="center" vertical="center"/>
    </xf>
    <xf numFmtId="0" fontId="7" fillId="0" borderId="12" xfId="1" applyNumberFormat="1" applyFont="1" applyFill="1" applyBorder="1" applyAlignment="1">
      <alignment horizontal="center" vertical="center"/>
    </xf>
    <xf numFmtId="0" fontId="7" fillId="0" borderId="19" xfId="1" applyNumberFormat="1" applyFont="1" applyFill="1" applyBorder="1" applyAlignment="1">
      <alignment horizontal="center" vertical="center"/>
    </xf>
    <xf numFmtId="0" fontId="7" fillId="0" borderId="13" xfId="1" applyNumberFormat="1" applyFont="1" applyFill="1" applyBorder="1" applyAlignment="1">
      <alignment horizontal="center" vertical="center"/>
    </xf>
    <xf numFmtId="0" fontId="7" fillId="0" borderId="14" xfId="1" applyNumberFormat="1" applyFont="1" applyFill="1" applyBorder="1" applyAlignment="1">
      <alignment horizontal="center" vertical="center"/>
    </xf>
    <xf numFmtId="0" fontId="7" fillId="0" borderId="20" xfId="1" applyNumberFormat="1" applyFont="1" applyFill="1" applyBorder="1" applyAlignment="1">
      <alignment horizontal="center" vertical="center"/>
    </xf>
    <xf numFmtId="49" fontId="7" fillId="0" borderId="15" xfId="1" applyNumberFormat="1" applyFont="1" applyFill="1" applyBorder="1" applyAlignment="1">
      <alignment horizontal="center" vertical="center"/>
    </xf>
    <xf numFmtId="49" fontId="7" fillId="0" borderId="12" xfId="1" applyNumberFormat="1" applyFont="1" applyFill="1" applyBorder="1" applyAlignment="1">
      <alignment horizontal="center" vertical="center"/>
    </xf>
    <xf numFmtId="49" fontId="7" fillId="0" borderId="19" xfId="1" applyNumberFormat="1" applyFont="1" applyFill="1" applyBorder="1" applyAlignment="1">
      <alignment horizontal="center" vertical="center"/>
    </xf>
    <xf numFmtId="49" fontId="7" fillId="0" borderId="13" xfId="1" applyNumberFormat="1" applyFont="1" applyFill="1" applyBorder="1" applyAlignment="1">
      <alignment horizontal="center" vertical="center"/>
    </xf>
    <xf numFmtId="49" fontId="7" fillId="0" borderId="14" xfId="1" applyNumberFormat="1" applyFont="1" applyFill="1" applyBorder="1" applyAlignment="1">
      <alignment horizontal="center" vertical="center"/>
    </xf>
    <xf numFmtId="49" fontId="7" fillId="0" borderId="20" xfId="1" applyNumberFormat="1" applyFont="1" applyFill="1" applyBorder="1" applyAlignment="1">
      <alignment horizontal="center" vertical="center"/>
    </xf>
    <xf numFmtId="49" fontId="7" fillId="0" borderId="21" xfId="1" applyNumberFormat="1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  <xf numFmtId="49" fontId="7" fillId="0" borderId="22" xfId="1" applyNumberFormat="1" applyFont="1" applyFill="1" applyBorder="1" applyAlignment="1">
      <alignment horizontal="center" vertical="center"/>
    </xf>
    <xf numFmtId="0" fontId="7" fillId="0" borderId="15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0" fontId="7" fillId="0" borderId="14" xfId="1" applyFont="1" applyFill="1" applyBorder="1" applyAlignment="1">
      <alignment horizontal="center" vertical="center"/>
    </xf>
    <xf numFmtId="0" fontId="7" fillId="0" borderId="20" xfId="1" applyFont="1" applyFill="1" applyBorder="1" applyAlignment="1">
      <alignment horizontal="center" vertical="center"/>
    </xf>
    <xf numFmtId="0" fontId="7" fillId="0" borderId="15" xfId="1" applyFont="1" applyFill="1" applyBorder="1" applyAlignment="1">
      <alignment horizontal="left" vertical="center"/>
    </xf>
    <xf numFmtId="0" fontId="7" fillId="0" borderId="12" xfId="1" applyFont="1" applyFill="1" applyBorder="1" applyAlignment="1">
      <alignment horizontal="left" vertical="center"/>
    </xf>
    <xf numFmtId="0" fontId="7" fillId="0" borderId="19" xfId="1" applyFont="1" applyFill="1" applyBorder="1" applyAlignment="1">
      <alignment horizontal="left" vertical="center"/>
    </xf>
    <xf numFmtId="0" fontId="7" fillId="0" borderId="13" xfId="1" applyFont="1" applyFill="1" applyBorder="1" applyAlignment="1">
      <alignment horizontal="left" vertical="center"/>
    </xf>
    <xf numFmtId="0" fontId="7" fillId="0" borderId="14" xfId="1" applyFont="1" applyFill="1" applyBorder="1" applyAlignment="1">
      <alignment horizontal="left" vertical="center"/>
    </xf>
    <xf numFmtId="0" fontId="7" fillId="0" borderId="20" xfId="1" applyFont="1" applyFill="1" applyBorder="1" applyAlignment="1">
      <alignment horizontal="left" vertical="center"/>
    </xf>
    <xf numFmtId="0" fontId="28" fillId="0" borderId="2" xfId="1" applyFont="1" applyBorder="1" applyAlignment="1">
      <alignment horizontal="center" vertical="center"/>
    </xf>
    <xf numFmtId="49" fontId="7" fillId="0" borderId="15" xfId="1" applyNumberFormat="1" applyFont="1" applyFill="1" applyBorder="1" applyAlignment="1">
      <alignment vertical="center" wrapText="1"/>
    </xf>
    <xf numFmtId="49" fontId="7" fillId="0" borderId="12" xfId="1" applyNumberFormat="1" applyFont="1" applyFill="1" applyBorder="1" applyAlignment="1">
      <alignment vertical="center" wrapText="1"/>
    </xf>
    <xf numFmtId="49" fontId="7" fillId="0" borderId="19" xfId="1" applyNumberFormat="1" applyFont="1" applyFill="1" applyBorder="1" applyAlignment="1">
      <alignment vertical="center" wrapText="1"/>
    </xf>
    <xf numFmtId="49" fontId="7" fillId="0" borderId="21" xfId="1" applyNumberFormat="1" applyFont="1" applyFill="1" applyBorder="1" applyAlignment="1">
      <alignment vertical="center" wrapText="1"/>
    </xf>
    <xf numFmtId="49" fontId="7" fillId="0" borderId="0" xfId="1" applyNumberFormat="1" applyFont="1" applyFill="1" applyBorder="1" applyAlignment="1">
      <alignment vertical="center" wrapText="1"/>
    </xf>
    <xf numFmtId="49" fontId="7" fillId="0" borderId="22" xfId="1" applyNumberFormat="1" applyFont="1" applyFill="1" applyBorder="1" applyAlignment="1">
      <alignment vertical="center" wrapText="1"/>
    </xf>
    <xf numFmtId="49" fontId="7" fillId="0" borderId="13" xfId="1" applyNumberFormat="1" applyFont="1" applyFill="1" applyBorder="1" applyAlignment="1">
      <alignment vertical="center" wrapText="1"/>
    </xf>
    <xf numFmtId="49" fontId="7" fillId="0" borderId="14" xfId="1" applyNumberFormat="1" applyFont="1" applyFill="1" applyBorder="1" applyAlignment="1">
      <alignment vertical="center" wrapText="1"/>
    </xf>
    <xf numFmtId="49" fontId="7" fillId="0" borderId="20" xfId="1" applyNumberFormat="1" applyFont="1" applyFill="1" applyBorder="1" applyAlignment="1">
      <alignment vertical="center" wrapText="1"/>
    </xf>
    <xf numFmtId="176" fontId="6" fillId="0" borderId="56" xfId="1" applyNumberFormat="1" applyFont="1" applyBorder="1" applyAlignment="1">
      <alignment horizontal="center" vertical="center"/>
    </xf>
    <xf numFmtId="176" fontId="6" fillId="0" borderId="2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horizontal="center" vertical="center"/>
    </xf>
    <xf numFmtId="0" fontId="5" fillId="0" borderId="2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55" xfId="1" applyFont="1" applyBorder="1" applyAlignment="1">
      <alignment horizontal="center" vertical="center"/>
    </xf>
    <xf numFmtId="0" fontId="6" fillId="0" borderId="56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24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55" xfId="1" applyFont="1" applyBorder="1" applyAlignment="1">
      <alignment horizontal="center" vertical="center"/>
    </xf>
    <xf numFmtId="0" fontId="12" fillId="0" borderId="12" xfId="1" applyFont="1" applyBorder="1" applyAlignment="1">
      <alignment vertical="center" wrapText="1"/>
    </xf>
    <xf numFmtId="0" fontId="12" fillId="0" borderId="19" xfId="1" applyFont="1" applyBorder="1" applyAlignment="1">
      <alignment vertical="center" wrapText="1"/>
    </xf>
    <xf numFmtId="0" fontId="12" fillId="0" borderId="14" xfId="1" applyFont="1" applyBorder="1" applyAlignment="1">
      <alignment vertical="center" wrapText="1"/>
    </xf>
    <xf numFmtId="0" fontId="12" fillId="0" borderId="20" xfId="1" applyFont="1" applyBorder="1" applyAlignment="1">
      <alignment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18" xfId="1" applyFont="1" applyBorder="1" applyAlignment="1">
      <alignment horizontal="center" vertical="center"/>
    </xf>
    <xf numFmtId="2" fontId="3" fillId="0" borderId="37" xfId="1" applyNumberFormat="1" applyFont="1" applyBorder="1" applyAlignment="1">
      <alignment horizontal="center" vertical="center"/>
    </xf>
    <xf numFmtId="2" fontId="3" fillId="0" borderId="39" xfId="1" applyNumberFormat="1" applyFont="1" applyBorder="1" applyAlignment="1">
      <alignment horizontal="center" vertical="center"/>
    </xf>
    <xf numFmtId="176" fontId="67" fillId="0" borderId="56" xfId="1" applyNumberFormat="1" applyFont="1" applyFill="1" applyBorder="1" applyAlignment="1">
      <alignment vertical="center"/>
    </xf>
    <xf numFmtId="176" fontId="67" fillId="0" borderId="2" xfId="1" applyNumberFormat="1" applyFont="1" applyFill="1" applyBorder="1" applyAlignment="1">
      <alignment vertical="center"/>
    </xf>
    <xf numFmtId="176" fontId="67" fillId="0" borderId="24" xfId="1" applyNumberFormat="1" applyFont="1" applyFill="1" applyBorder="1" applyAlignment="1">
      <alignment vertical="center"/>
    </xf>
    <xf numFmtId="0" fontId="70" fillId="0" borderId="23" xfId="1" applyFont="1" applyBorder="1" applyAlignment="1">
      <alignment vertical="center"/>
    </xf>
    <xf numFmtId="0" fontId="70" fillId="0" borderId="2" xfId="1" applyFont="1" applyBorder="1" applyAlignment="1">
      <alignment vertical="center"/>
    </xf>
    <xf numFmtId="0" fontId="70" fillId="0" borderId="55" xfId="1" applyFont="1" applyBorder="1" applyAlignment="1">
      <alignment vertical="center"/>
    </xf>
    <xf numFmtId="0" fontId="67" fillId="0" borderId="56" xfId="1" applyFont="1" applyBorder="1" applyAlignment="1">
      <alignment vertical="center"/>
    </xf>
    <xf numFmtId="0" fontId="67" fillId="0" borderId="2" xfId="1" applyFont="1" applyBorder="1" applyAlignment="1">
      <alignment vertical="center"/>
    </xf>
    <xf numFmtId="0" fontId="67" fillId="0" borderId="24" xfId="1" applyFont="1" applyBorder="1" applyAlignment="1">
      <alignment vertical="center"/>
    </xf>
    <xf numFmtId="2" fontId="11" fillId="0" borderId="37" xfId="1" applyNumberFormat="1" applyFont="1" applyBorder="1" applyAlignment="1">
      <alignment vertical="center"/>
    </xf>
    <xf numFmtId="2" fontId="11" fillId="0" borderId="39" xfId="1" applyNumberFormat="1" applyFont="1" applyBorder="1" applyAlignment="1">
      <alignment vertical="center"/>
    </xf>
    <xf numFmtId="176" fontId="67" fillId="0" borderId="56" xfId="1" applyNumberFormat="1" applyFont="1" applyBorder="1" applyAlignment="1">
      <alignment vertical="center"/>
    </xf>
    <xf numFmtId="176" fontId="67" fillId="0" borderId="2" xfId="1" applyNumberFormat="1" applyFont="1" applyBorder="1" applyAlignment="1">
      <alignment vertical="center"/>
    </xf>
    <xf numFmtId="176" fontId="67" fillId="0" borderId="24" xfId="1" applyNumberFormat="1" applyFont="1" applyBorder="1" applyAlignment="1">
      <alignment vertical="center"/>
    </xf>
    <xf numFmtId="0" fontId="67" fillId="0" borderId="23" xfId="1" applyFont="1" applyBorder="1" applyAlignment="1">
      <alignment vertical="center"/>
    </xf>
    <xf numFmtId="0" fontId="67" fillId="0" borderId="55" xfId="1" applyFont="1" applyBorder="1" applyAlignment="1">
      <alignment vertical="center"/>
    </xf>
    <xf numFmtId="0" fontId="67" fillId="0" borderId="16" xfId="1" applyFont="1" applyBorder="1" applyAlignment="1">
      <alignment vertical="center"/>
    </xf>
    <xf numFmtId="0" fontId="67" fillId="0" borderId="18" xfId="1" applyFont="1" applyBorder="1" applyAlignment="1">
      <alignment vertical="center"/>
    </xf>
    <xf numFmtId="0" fontId="0" fillId="59" borderId="23" xfId="0" applyFill="1" applyBorder="1" applyAlignment="1">
      <alignment horizontal="center"/>
    </xf>
    <xf numFmtId="0" fontId="0" fillId="59" borderId="2" xfId="0" applyFill="1" applyBorder="1" applyAlignment="1">
      <alignment horizontal="center"/>
    </xf>
    <xf numFmtId="0" fontId="0" fillId="59" borderId="24" xfId="0" applyFill="1" applyBorder="1" applyAlignment="1">
      <alignment horizontal="center"/>
    </xf>
    <xf numFmtId="0" fontId="0" fillId="59" borderId="28" xfId="0" applyFill="1" applyBorder="1"/>
    <xf numFmtId="0" fontId="0" fillId="59" borderId="65" xfId="0" applyFill="1" applyBorder="1"/>
    <xf numFmtId="0" fontId="0" fillId="59" borderId="15" xfId="0" applyFill="1" applyBorder="1"/>
    <xf numFmtId="0" fontId="0" fillId="59" borderId="12" xfId="0" applyFill="1" applyBorder="1"/>
    <xf numFmtId="0" fontId="0" fillId="59" borderId="19" xfId="0" applyFill="1" applyBorder="1"/>
    <xf numFmtId="0" fontId="0" fillId="59" borderId="21" xfId="0" applyFill="1" applyBorder="1"/>
    <xf numFmtId="0" fontId="0" fillId="59" borderId="0" xfId="0" applyFill="1" applyBorder="1"/>
    <xf numFmtId="0" fontId="0" fillId="59" borderId="22" xfId="0" applyFill="1" applyBorder="1"/>
    <xf numFmtId="0" fontId="0" fillId="59" borderId="13" xfId="0" applyFill="1" applyBorder="1"/>
    <xf numFmtId="0" fontId="0" fillId="59" borderId="14" xfId="0" applyFill="1" applyBorder="1"/>
    <xf numFmtId="0" fontId="0" fillId="59" borderId="20" xfId="0" applyFill="1" applyBorder="1"/>
    <xf numFmtId="0" fontId="0" fillId="66" borderId="28" xfId="0" applyFill="1" applyBorder="1"/>
    <xf numFmtId="0" fontId="0" fillId="66" borderId="65" xfId="0" applyFill="1" applyBorder="1" applyAlignment="1">
      <alignment horizontal="center" vertical="center" wrapText="1"/>
    </xf>
    <xf numFmtId="0" fontId="0" fillId="66" borderId="50" xfId="0" applyFill="1" applyBorder="1" applyAlignment="1">
      <alignment horizontal="center" vertical="center"/>
    </xf>
    <xf numFmtId="0" fontId="0" fillId="66" borderId="45" xfId="0" applyFill="1" applyBorder="1" applyAlignment="1">
      <alignment horizontal="center" vertical="center"/>
    </xf>
    <xf numFmtId="0" fontId="83" fillId="0" borderId="0" xfId="0" applyFont="1"/>
  </cellXfs>
  <cellStyles count="712">
    <cellStyle name="0,0_x000d__x000a_NA_x000d__x000a_" xfId="1" xr:uid="{00000000-0005-0000-0000-000000000000}"/>
    <cellStyle name="0,0_x000d__x000a_NA_x000d__x000a_ 2" xfId="2" xr:uid="{00000000-0005-0000-0000-000001000000}"/>
    <cellStyle name="0,0_x000d__x000a_NA_x000d__x000a_ 2 2" xfId="3" xr:uid="{00000000-0005-0000-0000-000002000000}"/>
    <cellStyle name="0,0_x000d__x000a_NA_x000d__x000a_ 2 2 2" xfId="4" xr:uid="{00000000-0005-0000-0000-000003000000}"/>
    <cellStyle name="0,0_x000d__x000a_NA_x000d__x000a_ 2 2 3" xfId="5" xr:uid="{00000000-0005-0000-0000-000004000000}"/>
    <cellStyle name="0,0_x000d__x000a_NA_x000d__x000a_ 2 2 3 2" xfId="6" xr:uid="{00000000-0005-0000-0000-000005000000}"/>
    <cellStyle name="0,0_x000d__x000a_NA_x000d__x000a_ 2 2 3 3" xfId="7" xr:uid="{00000000-0005-0000-0000-000006000000}"/>
    <cellStyle name="0,0_x000d__x000a_NA_x000d__x000a_ 2 2 3 4" xfId="8" xr:uid="{00000000-0005-0000-0000-000007000000}"/>
    <cellStyle name="0,0_x000d__x000a_NA_x000d__x000a_ 2 2 3 5" xfId="9" xr:uid="{00000000-0005-0000-0000-000008000000}"/>
    <cellStyle name="0,0_x000d__x000a_NA_x000d__x000a_ 2 2 4" xfId="10" xr:uid="{00000000-0005-0000-0000-000009000000}"/>
    <cellStyle name="0,0_x000d__x000a_NA_x000d__x000a_ 2 2 5" xfId="11" xr:uid="{00000000-0005-0000-0000-00000A000000}"/>
    <cellStyle name="0,0_x000d__x000a_NA_x000d__x000a_ 2 2 6" xfId="12" xr:uid="{00000000-0005-0000-0000-00000B000000}"/>
    <cellStyle name="0,0_x000d__x000a_NA_x000d__x000a_ 2 2 7" xfId="13" xr:uid="{00000000-0005-0000-0000-00000C000000}"/>
    <cellStyle name="0,0_x000d__x000a_NA_x000d__x000a_ 2 3" xfId="14" xr:uid="{00000000-0005-0000-0000-00000D000000}"/>
    <cellStyle name="0,0_x000d__x000a_NA_x000d__x000a_ 2 4" xfId="15" xr:uid="{00000000-0005-0000-0000-00000E000000}"/>
    <cellStyle name="0,0_x000d__x000a_NA_x000d__x000a_ 2 4 2" xfId="16" xr:uid="{00000000-0005-0000-0000-00000F000000}"/>
    <cellStyle name="0,0_x000d__x000a_NA_x000d__x000a_ 2 4 3" xfId="17" xr:uid="{00000000-0005-0000-0000-000010000000}"/>
    <cellStyle name="0,0_x000d__x000a_NA_x000d__x000a_ 2 4 4" xfId="18" xr:uid="{00000000-0005-0000-0000-000011000000}"/>
    <cellStyle name="0,0_x000d__x000a_NA_x000d__x000a_ 2 4 5" xfId="19" xr:uid="{00000000-0005-0000-0000-000012000000}"/>
    <cellStyle name="0,0_x000d__x000a_NA_x000d__x000a_ 3" xfId="20" xr:uid="{00000000-0005-0000-0000-000013000000}"/>
    <cellStyle name="0,0_x000d__x000a_NA_x000d__x000a_ 3 2" xfId="21" xr:uid="{00000000-0005-0000-0000-000014000000}"/>
    <cellStyle name="0,0_x000d__x000a_NA_x000d__x000a_ 3 2 2" xfId="22" xr:uid="{00000000-0005-0000-0000-000015000000}"/>
    <cellStyle name="0,0_x000d__x000a_NA_x000d__x000a_ 3 3" xfId="23" xr:uid="{00000000-0005-0000-0000-000016000000}"/>
    <cellStyle name="0,0_x000d__x000a_NA_x000d__x000a_ 3 3 2" xfId="24" xr:uid="{00000000-0005-0000-0000-000017000000}"/>
    <cellStyle name="0,0_x000d__x000a_NA_x000d__x000a_ 3 3 3" xfId="25" xr:uid="{00000000-0005-0000-0000-000018000000}"/>
    <cellStyle name="0,0_x000d__x000a_NA_x000d__x000a_ 3 3 4" xfId="26" xr:uid="{00000000-0005-0000-0000-000019000000}"/>
    <cellStyle name="0,0_x000d__x000a_NA_x000d__x000a_ 3 3 5" xfId="27" xr:uid="{00000000-0005-0000-0000-00001A000000}"/>
    <cellStyle name="0,0_x000d__x000a_NA_x000d__x000a_ 3 4" xfId="28" xr:uid="{00000000-0005-0000-0000-00001B000000}"/>
    <cellStyle name="0,0_x000d__x000a_NA_x000d__x000a_ 4" xfId="29" xr:uid="{00000000-0005-0000-0000-00001C000000}"/>
    <cellStyle name="0,0_x000d__x000a_NA_x000d__x000a_ 5" xfId="30" xr:uid="{00000000-0005-0000-0000-00001D000000}"/>
    <cellStyle name="0,0_x000d__x000a_NA_x000d__x000a__040-570-1222 システムプロセス設計書(MBAA0400)【ＡＣＰ株式売買注文訂正・取消】v1.19" xfId="31" xr:uid="{00000000-0005-0000-0000-00001E000000}"/>
    <cellStyle name="20% - アクセント 1" xfId="32" builtinId="30" customBuiltin="1"/>
    <cellStyle name="20% - アクセント 1 2" xfId="33" xr:uid="{00000000-0005-0000-0000-000020000000}"/>
    <cellStyle name="20% - アクセント 1 2 2" xfId="34" xr:uid="{00000000-0005-0000-0000-000021000000}"/>
    <cellStyle name="20% - アクセント 1 3" xfId="35" xr:uid="{00000000-0005-0000-0000-000022000000}"/>
    <cellStyle name="20% - アクセント 1 3 2" xfId="36" xr:uid="{00000000-0005-0000-0000-000023000000}"/>
    <cellStyle name="20% - アクセント 1 3 3" xfId="37" xr:uid="{00000000-0005-0000-0000-000024000000}"/>
    <cellStyle name="20% - アクセント 2" xfId="38" builtinId="34" customBuiltin="1"/>
    <cellStyle name="20% - アクセント 2 2" xfId="39" xr:uid="{00000000-0005-0000-0000-000026000000}"/>
    <cellStyle name="20% - アクセント 2 2 2" xfId="40" xr:uid="{00000000-0005-0000-0000-000027000000}"/>
    <cellStyle name="20% - アクセント 2 3" xfId="41" xr:uid="{00000000-0005-0000-0000-000028000000}"/>
    <cellStyle name="20% - アクセント 2 3 2" xfId="42" xr:uid="{00000000-0005-0000-0000-000029000000}"/>
    <cellStyle name="20% - アクセント 2 3 3" xfId="43" xr:uid="{00000000-0005-0000-0000-00002A000000}"/>
    <cellStyle name="20% - アクセント 3" xfId="44" builtinId="38" customBuiltin="1"/>
    <cellStyle name="20% - アクセント 3 2" xfId="45" xr:uid="{00000000-0005-0000-0000-00002C000000}"/>
    <cellStyle name="20% - アクセント 3 2 2" xfId="46" xr:uid="{00000000-0005-0000-0000-00002D000000}"/>
    <cellStyle name="20% - アクセント 3 3" xfId="47" xr:uid="{00000000-0005-0000-0000-00002E000000}"/>
    <cellStyle name="20% - アクセント 3 3 2" xfId="48" xr:uid="{00000000-0005-0000-0000-00002F000000}"/>
    <cellStyle name="20% - アクセント 3 3 3" xfId="49" xr:uid="{00000000-0005-0000-0000-000030000000}"/>
    <cellStyle name="20% - アクセント 4" xfId="50" builtinId="42" customBuiltin="1"/>
    <cellStyle name="20% - アクセント 4 2" xfId="51" xr:uid="{00000000-0005-0000-0000-000032000000}"/>
    <cellStyle name="20% - アクセント 4 2 2" xfId="52" xr:uid="{00000000-0005-0000-0000-000033000000}"/>
    <cellStyle name="20% - アクセント 4 3" xfId="53" xr:uid="{00000000-0005-0000-0000-000034000000}"/>
    <cellStyle name="20% - アクセント 4 3 2" xfId="54" xr:uid="{00000000-0005-0000-0000-000035000000}"/>
    <cellStyle name="20% - アクセント 4 3 3" xfId="55" xr:uid="{00000000-0005-0000-0000-000036000000}"/>
    <cellStyle name="20% - アクセント 5" xfId="56" builtinId="46" customBuiltin="1"/>
    <cellStyle name="20% - アクセント 5 2" xfId="57" xr:uid="{00000000-0005-0000-0000-000038000000}"/>
    <cellStyle name="20% - アクセント 5 2 2" xfId="58" xr:uid="{00000000-0005-0000-0000-000039000000}"/>
    <cellStyle name="20% - アクセント 5 3" xfId="59" xr:uid="{00000000-0005-0000-0000-00003A000000}"/>
    <cellStyle name="20% - アクセント 5 3 2" xfId="60" xr:uid="{00000000-0005-0000-0000-00003B000000}"/>
    <cellStyle name="20% - アクセント 5 3 3" xfId="61" xr:uid="{00000000-0005-0000-0000-00003C000000}"/>
    <cellStyle name="20% - アクセント 6" xfId="62" builtinId="50" customBuiltin="1"/>
    <cellStyle name="20% - アクセント 6 2" xfId="63" xr:uid="{00000000-0005-0000-0000-00003E000000}"/>
    <cellStyle name="20% - アクセント 6 2 2" xfId="64" xr:uid="{00000000-0005-0000-0000-00003F000000}"/>
    <cellStyle name="20% - アクセント 6 3" xfId="65" xr:uid="{00000000-0005-0000-0000-000040000000}"/>
    <cellStyle name="20% - アクセント 6 3 2" xfId="66" xr:uid="{00000000-0005-0000-0000-000041000000}"/>
    <cellStyle name="20% - アクセント 6 3 3" xfId="67" xr:uid="{00000000-0005-0000-0000-000042000000}"/>
    <cellStyle name="40% - アクセント 1" xfId="68" builtinId="31" customBuiltin="1"/>
    <cellStyle name="40% - アクセント 1 2" xfId="69" xr:uid="{00000000-0005-0000-0000-000044000000}"/>
    <cellStyle name="40% - アクセント 1 2 2" xfId="70" xr:uid="{00000000-0005-0000-0000-000045000000}"/>
    <cellStyle name="40% - アクセント 1 3" xfId="71" xr:uid="{00000000-0005-0000-0000-000046000000}"/>
    <cellStyle name="40% - アクセント 1 3 2" xfId="72" xr:uid="{00000000-0005-0000-0000-000047000000}"/>
    <cellStyle name="40% - アクセント 1 3 3" xfId="73" xr:uid="{00000000-0005-0000-0000-000048000000}"/>
    <cellStyle name="40% - アクセント 2" xfId="74" builtinId="35" customBuiltin="1"/>
    <cellStyle name="40% - アクセント 2 2" xfId="75" xr:uid="{00000000-0005-0000-0000-00004A000000}"/>
    <cellStyle name="40% - アクセント 2 2 2" xfId="76" xr:uid="{00000000-0005-0000-0000-00004B000000}"/>
    <cellStyle name="40% - アクセント 2 3" xfId="77" xr:uid="{00000000-0005-0000-0000-00004C000000}"/>
    <cellStyle name="40% - アクセント 2 3 2" xfId="78" xr:uid="{00000000-0005-0000-0000-00004D000000}"/>
    <cellStyle name="40% - アクセント 2 3 3" xfId="79" xr:uid="{00000000-0005-0000-0000-00004E000000}"/>
    <cellStyle name="40% - アクセント 3" xfId="80" builtinId="39" customBuiltin="1"/>
    <cellStyle name="40% - アクセント 3 2" xfId="81" xr:uid="{00000000-0005-0000-0000-000050000000}"/>
    <cellStyle name="40% - アクセント 3 2 2" xfId="82" xr:uid="{00000000-0005-0000-0000-000051000000}"/>
    <cellStyle name="40% - アクセント 3 3" xfId="83" xr:uid="{00000000-0005-0000-0000-000052000000}"/>
    <cellStyle name="40% - アクセント 3 3 2" xfId="84" xr:uid="{00000000-0005-0000-0000-000053000000}"/>
    <cellStyle name="40% - アクセント 3 3 3" xfId="85" xr:uid="{00000000-0005-0000-0000-000054000000}"/>
    <cellStyle name="40% - アクセント 4" xfId="86" builtinId="43" customBuiltin="1"/>
    <cellStyle name="40% - アクセント 4 2" xfId="87" xr:uid="{00000000-0005-0000-0000-000056000000}"/>
    <cellStyle name="40% - アクセント 4 2 2" xfId="88" xr:uid="{00000000-0005-0000-0000-000057000000}"/>
    <cellStyle name="40% - アクセント 4 3" xfId="89" xr:uid="{00000000-0005-0000-0000-000058000000}"/>
    <cellStyle name="40% - アクセント 4 3 2" xfId="90" xr:uid="{00000000-0005-0000-0000-000059000000}"/>
    <cellStyle name="40% - アクセント 4 3 3" xfId="91" xr:uid="{00000000-0005-0000-0000-00005A000000}"/>
    <cellStyle name="40% - アクセント 5" xfId="92" builtinId="47" customBuiltin="1"/>
    <cellStyle name="40% - アクセント 5 2" xfId="93" xr:uid="{00000000-0005-0000-0000-00005C000000}"/>
    <cellStyle name="40% - アクセント 5 2 2" xfId="94" xr:uid="{00000000-0005-0000-0000-00005D000000}"/>
    <cellStyle name="40% - アクセント 5 3" xfId="95" xr:uid="{00000000-0005-0000-0000-00005E000000}"/>
    <cellStyle name="40% - アクセント 5 3 2" xfId="96" xr:uid="{00000000-0005-0000-0000-00005F000000}"/>
    <cellStyle name="40% - アクセント 5 3 3" xfId="97" xr:uid="{00000000-0005-0000-0000-000060000000}"/>
    <cellStyle name="40% - アクセント 6" xfId="98" builtinId="51" customBuiltin="1"/>
    <cellStyle name="40% - アクセント 6 2" xfId="99" xr:uid="{00000000-0005-0000-0000-000062000000}"/>
    <cellStyle name="40% - アクセント 6 2 2" xfId="100" xr:uid="{00000000-0005-0000-0000-000063000000}"/>
    <cellStyle name="40% - アクセント 6 3" xfId="101" xr:uid="{00000000-0005-0000-0000-000064000000}"/>
    <cellStyle name="40% - アクセント 6 3 2" xfId="102" xr:uid="{00000000-0005-0000-0000-000065000000}"/>
    <cellStyle name="40% - アクセント 6 3 3" xfId="103" xr:uid="{00000000-0005-0000-0000-000066000000}"/>
    <cellStyle name="60% - アクセント 1" xfId="104" builtinId="32" customBuiltin="1"/>
    <cellStyle name="60% - アクセント 1 2" xfId="105" xr:uid="{00000000-0005-0000-0000-000068000000}"/>
    <cellStyle name="60% - アクセント 1 2 2" xfId="106" xr:uid="{00000000-0005-0000-0000-000069000000}"/>
    <cellStyle name="60% - アクセント 1 3" xfId="107" xr:uid="{00000000-0005-0000-0000-00006A000000}"/>
    <cellStyle name="60% - アクセント 1 3 2" xfId="108" xr:uid="{00000000-0005-0000-0000-00006B000000}"/>
    <cellStyle name="60% - アクセント 2" xfId="109" builtinId="36" customBuiltin="1"/>
    <cellStyle name="60% - アクセント 2 2" xfId="110" xr:uid="{00000000-0005-0000-0000-00006D000000}"/>
    <cellStyle name="60% - アクセント 2 2 2" xfId="111" xr:uid="{00000000-0005-0000-0000-00006E000000}"/>
    <cellStyle name="60% - アクセント 2 3" xfId="112" xr:uid="{00000000-0005-0000-0000-00006F000000}"/>
    <cellStyle name="60% - アクセント 2 3 2" xfId="113" xr:uid="{00000000-0005-0000-0000-000070000000}"/>
    <cellStyle name="60% - アクセント 3" xfId="114" builtinId="40" customBuiltin="1"/>
    <cellStyle name="60% - アクセント 3 2" xfId="115" xr:uid="{00000000-0005-0000-0000-000072000000}"/>
    <cellStyle name="60% - アクセント 3 2 2" xfId="116" xr:uid="{00000000-0005-0000-0000-000073000000}"/>
    <cellStyle name="60% - アクセント 3 3" xfId="117" xr:uid="{00000000-0005-0000-0000-000074000000}"/>
    <cellStyle name="60% - アクセント 3 3 2" xfId="118" xr:uid="{00000000-0005-0000-0000-000075000000}"/>
    <cellStyle name="60% - アクセント 4" xfId="119" builtinId="44" customBuiltin="1"/>
    <cellStyle name="60% - アクセント 4 2" xfId="120" xr:uid="{00000000-0005-0000-0000-000077000000}"/>
    <cellStyle name="60% - アクセント 4 2 2" xfId="121" xr:uid="{00000000-0005-0000-0000-000078000000}"/>
    <cellStyle name="60% - アクセント 4 3" xfId="122" xr:uid="{00000000-0005-0000-0000-000079000000}"/>
    <cellStyle name="60% - アクセント 4 3 2" xfId="123" xr:uid="{00000000-0005-0000-0000-00007A000000}"/>
    <cellStyle name="60% - アクセント 5" xfId="124" builtinId="48" customBuiltin="1"/>
    <cellStyle name="60% - アクセント 5 2" xfId="125" xr:uid="{00000000-0005-0000-0000-00007C000000}"/>
    <cellStyle name="60% - アクセント 5 2 2" xfId="126" xr:uid="{00000000-0005-0000-0000-00007D000000}"/>
    <cellStyle name="60% - アクセント 5 3" xfId="127" xr:uid="{00000000-0005-0000-0000-00007E000000}"/>
    <cellStyle name="60% - アクセント 5 3 2" xfId="128" xr:uid="{00000000-0005-0000-0000-00007F000000}"/>
    <cellStyle name="60% - アクセント 6" xfId="129" builtinId="52" customBuiltin="1"/>
    <cellStyle name="60% - アクセント 6 2" xfId="130" xr:uid="{00000000-0005-0000-0000-000081000000}"/>
    <cellStyle name="60% - アクセント 6 2 2" xfId="131" xr:uid="{00000000-0005-0000-0000-000082000000}"/>
    <cellStyle name="60% - アクセント 6 3" xfId="132" xr:uid="{00000000-0005-0000-0000-000083000000}"/>
    <cellStyle name="60% - アクセント 6 3 2" xfId="133" xr:uid="{00000000-0005-0000-0000-000084000000}"/>
    <cellStyle name="Calc Currency (0)" xfId="134" xr:uid="{00000000-0005-0000-0000-000085000000}"/>
    <cellStyle name="entry" xfId="135" xr:uid="{00000000-0005-0000-0000-000086000000}"/>
    <cellStyle name="GBS Files" xfId="136" xr:uid="{00000000-0005-0000-0000-000087000000}"/>
    <cellStyle name="Header1" xfId="137" xr:uid="{00000000-0005-0000-0000-000088000000}"/>
    <cellStyle name="Header2" xfId="138" xr:uid="{00000000-0005-0000-0000-000089000000}"/>
    <cellStyle name="Header2 2" xfId="139" xr:uid="{00000000-0005-0000-0000-00008A000000}"/>
    <cellStyle name="Header2 2 2" xfId="140" xr:uid="{00000000-0005-0000-0000-00008B000000}"/>
    <cellStyle name="Header2 2 2 2" xfId="141" xr:uid="{00000000-0005-0000-0000-00008C000000}"/>
    <cellStyle name="Header2 2 2 2 2" xfId="142" xr:uid="{00000000-0005-0000-0000-00008D000000}"/>
    <cellStyle name="Header2 2 2 3" xfId="143" xr:uid="{00000000-0005-0000-0000-00008E000000}"/>
    <cellStyle name="Header2 2 2 3 2" xfId="144" xr:uid="{00000000-0005-0000-0000-00008F000000}"/>
    <cellStyle name="Header2 2 2 4" xfId="145" xr:uid="{00000000-0005-0000-0000-000090000000}"/>
    <cellStyle name="Header2 2 2 4 2" xfId="146" xr:uid="{00000000-0005-0000-0000-000091000000}"/>
    <cellStyle name="Header2 2 2 5" xfId="147" xr:uid="{00000000-0005-0000-0000-000092000000}"/>
    <cellStyle name="Header2 2 2 5 2" xfId="148" xr:uid="{00000000-0005-0000-0000-000093000000}"/>
    <cellStyle name="Header2 2 2 6" xfId="149" xr:uid="{00000000-0005-0000-0000-000094000000}"/>
    <cellStyle name="Header2 2 3" xfId="150" xr:uid="{00000000-0005-0000-0000-000095000000}"/>
    <cellStyle name="Header2 2 3 2" xfId="151" xr:uid="{00000000-0005-0000-0000-000096000000}"/>
    <cellStyle name="Header2 2 4" xfId="152" xr:uid="{00000000-0005-0000-0000-000097000000}"/>
    <cellStyle name="Header2 2 4 2" xfId="153" xr:uid="{00000000-0005-0000-0000-000098000000}"/>
    <cellStyle name="Header2 2 5" xfId="154" xr:uid="{00000000-0005-0000-0000-000099000000}"/>
    <cellStyle name="Header2 2 5 2" xfId="155" xr:uid="{00000000-0005-0000-0000-00009A000000}"/>
    <cellStyle name="Header2 3" xfId="156" xr:uid="{00000000-0005-0000-0000-00009B000000}"/>
    <cellStyle name="Header2 3 2" xfId="157" xr:uid="{00000000-0005-0000-0000-00009C000000}"/>
    <cellStyle name="Header2 3 2 2" xfId="158" xr:uid="{00000000-0005-0000-0000-00009D000000}"/>
    <cellStyle name="Header2 3 3" xfId="159" xr:uid="{00000000-0005-0000-0000-00009E000000}"/>
    <cellStyle name="Header2 3 3 2" xfId="160" xr:uid="{00000000-0005-0000-0000-00009F000000}"/>
    <cellStyle name="Header2 3 4" xfId="161" xr:uid="{00000000-0005-0000-0000-0000A0000000}"/>
    <cellStyle name="Header2 3 4 2" xfId="162" xr:uid="{00000000-0005-0000-0000-0000A1000000}"/>
    <cellStyle name="Header2 3 5" xfId="163" xr:uid="{00000000-0005-0000-0000-0000A2000000}"/>
    <cellStyle name="Header2 3 5 2" xfId="164" xr:uid="{00000000-0005-0000-0000-0000A3000000}"/>
    <cellStyle name="Header2 3 6" xfId="165" xr:uid="{00000000-0005-0000-0000-0000A4000000}"/>
    <cellStyle name="Header2 4" xfId="166" xr:uid="{00000000-0005-0000-0000-0000A5000000}"/>
    <cellStyle name="Header2 4 2" xfId="167" xr:uid="{00000000-0005-0000-0000-0000A6000000}"/>
    <cellStyle name="Header2 4 2 2" xfId="168" xr:uid="{00000000-0005-0000-0000-0000A7000000}"/>
    <cellStyle name="Header2 4 3" xfId="169" xr:uid="{00000000-0005-0000-0000-0000A8000000}"/>
    <cellStyle name="Header2 4 3 2" xfId="170" xr:uid="{00000000-0005-0000-0000-0000A9000000}"/>
    <cellStyle name="Header2 4 4" xfId="171" xr:uid="{00000000-0005-0000-0000-0000AA000000}"/>
    <cellStyle name="Header2 4 4 2" xfId="172" xr:uid="{00000000-0005-0000-0000-0000AB000000}"/>
    <cellStyle name="Header2 4 5" xfId="173" xr:uid="{00000000-0005-0000-0000-0000AC000000}"/>
    <cellStyle name="Header2 4 5 2" xfId="174" xr:uid="{00000000-0005-0000-0000-0000AD000000}"/>
    <cellStyle name="Header2 4 6" xfId="175" xr:uid="{00000000-0005-0000-0000-0000AE000000}"/>
    <cellStyle name="Header2 5" xfId="176" xr:uid="{00000000-0005-0000-0000-0000AF000000}"/>
    <cellStyle name="Header2 5 2" xfId="177" xr:uid="{00000000-0005-0000-0000-0000B0000000}"/>
    <cellStyle name="Header2 6" xfId="178" xr:uid="{00000000-0005-0000-0000-0000B1000000}"/>
    <cellStyle name="Header2 6 2" xfId="179" xr:uid="{00000000-0005-0000-0000-0000B2000000}"/>
    <cellStyle name="Header2 7" xfId="180" xr:uid="{00000000-0005-0000-0000-0000B3000000}"/>
    <cellStyle name="Header2 7 2" xfId="181" xr:uid="{00000000-0005-0000-0000-0000B4000000}"/>
    <cellStyle name="IBM(401K)" xfId="182" xr:uid="{00000000-0005-0000-0000-0000B5000000}"/>
    <cellStyle name="J401K" xfId="183" xr:uid="{00000000-0005-0000-0000-0000B6000000}"/>
    <cellStyle name="Normal_#18-Internet" xfId="184" xr:uid="{00000000-0005-0000-0000-0000B7000000}"/>
    <cellStyle name="price" xfId="185" xr:uid="{00000000-0005-0000-0000-0000B8000000}"/>
    <cellStyle name="revised" xfId="186" xr:uid="{00000000-0005-0000-0000-0000B9000000}"/>
    <cellStyle name="section" xfId="187" xr:uid="{00000000-0005-0000-0000-0000BA000000}"/>
    <cellStyle name="subhead" xfId="188" xr:uid="{00000000-0005-0000-0000-0000BB000000}"/>
    <cellStyle name="title" xfId="189" xr:uid="{00000000-0005-0000-0000-0000BC000000}"/>
    <cellStyle name="アクセント 1" xfId="190" builtinId="29" customBuiltin="1"/>
    <cellStyle name="アクセント 1 2" xfId="191" xr:uid="{00000000-0005-0000-0000-0000BE000000}"/>
    <cellStyle name="アクセント 1 2 2" xfId="192" xr:uid="{00000000-0005-0000-0000-0000BF000000}"/>
    <cellStyle name="アクセント 1 3" xfId="193" xr:uid="{00000000-0005-0000-0000-0000C0000000}"/>
    <cellStyle name="アクセント 1 3 2" xfId="194" xr:uid="{00000000-0005-0000-0000-0000C1000000}"/>
    <cellStyle name="アクセント 2" xfId="195" builtinId="33" customBuiltin="1"/>
    <cellStyle name="アクセント 2 2" xfId="196" xr:uid="{00000000-0005-0000-0000-0000C3000000}"/>
    <cellStyle name="アクセント 2 2 2" xfId="197" xr:uid="{00000000-0005-0000-0000-0000C4000000}"/>
    <cellStyle name="アクセント 2 3" xfId="198" xr:uid="{00000000-0005-0000-0000-0000C5000000}"/>
    <cellStyle name="アクセント 2 3 2" xfId="199" xr:uid="{00000000-0005-0000-0000-0000C6000000}"/>
    <cellStyle name="アクセント 3" xfId="200" builtinId="37" customBuiltin="1"/>
    <cellStyle name="アクセント 3 2" xfId="201" xr:uid="{00000000-0005-0000-0000-0000C8000000}"/>
    <cellStyle name="アクセント 3 2 2" xfId="202" xr:uid="{00000000-0005-0000-0000-0000C9000000}"/>
    <cellStyle name="アクセント 3 3" xfId="203" xr:uid="{00000000-0005-0000-0000-0000CA000000}"/>
    <cellStyle name="アクセント 3 3 2" xfId="204" xr:uid="{00000000-0005-0000-0000-0000CB000000}"/>
    <cellStyle name="アクセント 4" xfId="205" builtinId="41" customBuiltin="1"/>
    <cellStyle name="アクセント 4 2" xfId="206" xr:uid="{00000000-0005-0000-0000-0000CD000000}"/>
    <cellStyle name="アクセント 4 2 2" xfId="207" xr:uid="{00000000-0005-0000-0000-0000CE000000}"/>
    <cellStyle name="アクセント 4 3" xfId="208" xr:uid="{00000000-0005-0000-0000-0000CF000000}"/>
    <cellStyle name="アクセント 4 3 2" xfId="209" xr:uid="{00000000-0005-0000-0000-0000D0000000}"/>
    <cellStyle name="アクセント 5" xfId="210" builtinId="45" customBuiltin="1"/>
    <cellStyle name="アクセント 5 2" xfId="211" xr:uid="{00000000-0005-0000-0000-0000D2000000}"/>
    <cellStyle name="アクセント 5 2 2" xfId="212" xr:uid="{00000000-0005-0000-0000-0000D3000000}"/>
    <cellStyle name="アクセント 5 3" xfId="213" xr:uid="{00000000-0005-0000-0000-0000D4000000}"/>
    <cellStyle name="アクセント 5 3 2" xfId="214" xr:uid="{00000000-0005-0000-0000-0000D5000000}"/>
    <cellStyle name="アクセント 6" xfId="215" builtinId="49" customBuiltin="1"/>
    <cellStyle name="アクセント 6 2" xfId="216" xr:uid="{00000000-0005-0000-0000-0000D7000000}"/>
    <cellStyle name="アクセント 6 2 2" xfId="217" xr:uid="{00000000-0005-0000-0000-0000D8000000}"/>
    <cellStyle name="アクセント 6 3" xfId="218" xr:uid="{00000000-0005-0000-0000-0000D9000000}"/>
    <cellStyle name="アクセント 6 3 2" xfId="219" xr:uid="{00000000-0005-0000-0000-0000DA000000}"/>
    <cellStyle name="タイトル" xfId="220" builtinId="15" customBuiltin="1"/>
    <cellStyle name="タイトル 2" xfId="221" xr:uid="{00000000-0005-0000-0000-0000DC000000}"/>
    <cellStyle name="タイトル 2 2" xfId="222" xr:uid="{00000000-0005-0000-0000-0000DD000000}"/>
    <cellStyle name="タイトル 3" xfId="223" xr:uid="{00000000-0005-0000-0000-0000DE000000}"/>
    <cellStyle name="チェック セル" xfId="224" builtinId="23" customBuiltin="1"/>
    <cellStyle name="チェック セル 2" xfId="225" xr:uid="{00000000-0005-0000-0000-0000E0000000}"/>
    <cellStyle name="チェック セル 2 2" xfId="226" xr:uid="{00000000-0005-0000-0000-0000E1000000}"/>
    <cellStyle name="チェック セル 3" xfId="227" xr:uid="{00000000-0005-0000-0000-0000E2000000}"/>
    <cellStyle name="チェック セル 3 2" xfId="228" xr:uid="{00000000-0005-0000-0000-0000E3000000}"/>
    <cellStyle name="どちらでもない" xfId="229" builtinId="28" customBuiltin="1"/>
    <cellStyle name="どちらでもない 2" xfId="230" xr:uid="{00000000-0005-0000-0000-0000E5000000}"/>
    <cellStyle name="どちらでもない 2 2" xfId="231" xr:uid="{00000000-0005-0000-0000-0000E6000000}"/>
    <cellStyle name="どちらでもない 3" xfId="232" xr:uid="{00000000-0005-0000-0000-0000E7000000}"/>
    <cellStyle name="どちらでもない 3 2" xfId="233" xr:uid="{00000000-0005-0000-0000-0000E8000000}"/>
    <cellStyle name="ハイパーリンク 2" xfId="234" xr:uid="{00000000-0005-0000-0000-0000E9000000}"/>
    <cellStyle name="メモ" xfId="235" builtinId="10" customBuiltin="1"/>
    <cellStyle name="メモ 2" xfId="236" xr:uid="{00000000-0005-0000-0000-0000EB000000}"/>
    <cellStyle name="メモ 2 2" xfId="237" xr:uid="{00000000-0005-0000-0000-0000EC000000}"/>
    <cellStyle name="メモ 2 2 2" xfId="238" xr:uid="{00000000-0005-0000-0000-0000ED000000}"/>
    <cellStyle name="メモ 2 2 2 2" xfId="239" xr:uid="{00000000-0005-0000-0000-0000EE000000}"/>
    <cellStyle name="メモ 2 2 2 2 2" xfId="240" xr:uid="{00000000-0005-0000-0000-0000EF000000}"/>
    <cellStyle name="メモ 2 2 2 3" xfId="241" xr:uid="{00000000-0005-0000-0000-0000F0000000}"/>
    <cellStyle name="メモ 2 2 2 3 2" xfId="242" xr:uid="{00000000-0005-0000-0000-0000F1000000}"/>
    <cellStyle name="メモ 2 2 2 4" xfId="243" xr:uid="{00000000-0005-0000-0000-0000F2000000}"/>
    <cellStyle name="メモ 2 2 2 4 2" xfId="244" xr:uid="{00000000-0005-0000-0000-0000F3000000}"/>
    <cellStyle name="メモ 2 2 2 5" xfId="245" xr:uid="{00000000-0005-0000-0000-0000F4000000}"/>
    <cellStyle name="メモ 2 2 2 5 2" xfId="246" xr:uid="{00000000-0005-0000-0000-0000F5000000}"/>
    <cellStyle name="メモ 2 2 2 6" xfId="247" xr:uid="{00000000-0005-0000-0000-0000F6000000}"/>
    <cellStyle name="メモ 2 2 3" xfId="248" xr:uid="{00000000-0005-0000-0000-0000F7000000}"/>
    <cellStyle name="メモ 2 2 3 2" xfId="249" xr:uid="{00000000-0005-0000-0000-0000F8000000}"/>
    <cellStyle name="メモ 2 2 4" xfId="250" xr:uid="{00000000-0005-0000-0000-0000F9000000}"/>
    <cellStyle name="メモ 2 2 4 2" xfId="251" xr:uid="{00000000-0005-0000-0000-0000FA000000}"/>
    <cellStyle name="メモ 2 2 5" xfId="252" xr:uid="{00000000-0005-0000-0000-0000FB000000}"/>
    <cellStyle name="メモ 2 2 5 2" xfId="253" xr:uid="{00000000-0005-0000-0000-0000FC000000}"/>
    <cellStyle name="メモ 2 2 6" xfId="254" xr:uid="{00000000-0005-0000-0000-0000FD000000}"/>
    <cellStyle name="メモ 2 2 6 2" xfId="255" xr:uid="{00000000-0005-0000-0000-0000FE000000}"/>
    <cellStyle name="メモ 2 2 7" xfId="256" xr:uid="{00000000-0005-0000-0000-0000FF000000}"/>
    <cellStyle name="メモ 2 3" xfId="257" xr:uid="{00000000-0005-0000-0000-000000010000}"/>
    <cellStyle name="メモ 2 3 2" xfId="258" xr:uid="{00000000-0005-0000-0000-000001010000}"/>
    <cellStyle name="メモ 2 3 2 2" xfId="259" xr:uid="{00000000-0005-0000-0000-000002010000}"/>
    <cellStyle name="メモ 2 3 3" xfId="260" xr:uid="{00000000-0005-0000-0000-000003010000}"/>
    <cellStyle name="メモ 2 3 3 2" xfId="261" xr:uid="{00000000-0005-0000-0000-000004010000}"/>
    <cellStyle name="メモ 2 3 4" xfId="262" xr:uid="{00000000-0005-0000-0000-000005010000}"/>
    <cellStyle name="メモ 2 3 4 2" xfId="263" xr:uid="{00000000-0005-0000-0000-000006010000}"/>
    <cellStyle name="メモ 2 3 5" xfId="264" xr:uid="{00000000-0005-0000-0000-000007010000}"/>
    <cellStyle name="メモ 2 3 5 2" xfId="265" xr:uid="{00000000-0005-0000-0000-000008010000}"/>
    <cellStyle name="メモ 2 3 6" xfId="266" xr:uid="{00000000-0005-0000-0000-000009010000}"/>
    <cellStyle name="メモ 2 4" xfId="267" xr:uid="{00000000-0005-0000-0000-00000A010000}"/>
    <cellStyle name="メモ 2 4 2" xfId="268" xr:uid="{00000000-0005-0000-0000-00000B010000}"/>
    <cellStyle name="メモ 2 5" xfId="269" xr:uid="{00000000-0005-0000-0000-00000C010000}"/>
    <cellStyle name="メモ 2 5 2" xfId="270" xr:uid="{00000000-0005-0000-0000-00000D010000}"/>
    <cellStyle name="メモ 2 6" xfId="271" xr:uid="{00000000-0005-0000-0000-00000E010000}"/>
    <cellStyle name="メモ 2 6 2" xfId="272" xr:uid="{00000000-0005-0000-0000-00000F010000}"/>
    <cellStyle name="メモ 2 7" xfId="273" xr:uid="{00000000-0005-0000-0000-000010010000}"/>
    <cellStyle name="メモ 2 7 2" xfId="274" xr:uid="{00000000-0005-0000-0000-000011010000}"/>
    <cellStyle name="メモ 3" xfId="275" xr:uid="{00000000-0005-0000-0000-000012010000}"/>
    <cellStyle name="メモ 3 2" xfId="276" xr:uid="{00000000-0005-0000-0000-000013010000}"/>
    <cellStyle name="メモ 3 2 2" xfId="277" xr:uid="{00000000-0005-0000-0000-000014010000}"/>
    <cellStyle name="メモ 3 3" xfId="278" xr:uid="{00000000-0005-0000-0000-000015010000}"/>
    <cellStyle name="メモ 3 4" xfId="279" xr:uid="{00000000-0005-0000-0000-000016010000}"/>
    <cellStyle name="メモ 4" xfId="280" xr:uid="{00000000-0005-0000-0000-000017010000}"/>
    <cellStyle name="メモ 4 2" xfId="281" xr:uid="{00000000-0005-0000-0000-000018010000}"/>
    <cellStyle name="メモ 4 3" xfId="282" xr:uid="{00000000-0005-0000-0000-000019010000}"/>
    <cellStyle name="メモ 5" xfId="283" xr:uid="{00000000-0005-0000-0000-00001A010000}"/>
    <cellStyle name="リンク セル" xfId="284" builtinId="24" customBuiltin="1"/>
    <cellStyle name="リンク セル 2" xfId="285" xr:uid="{00000000-0005-0000-0000-00001C010000}"/>
    <cellStyle name="リンク セル 2 2" xfId="286" xr:uid="{00000000-0005-0000-0000-00001D010000}"/>
    <cellStyle name="リンク セル 3" xfId="287" xr:uid="{00000000-0005-0000-0000-00001E010000}"/>
    <cellStyle name="リンク セル 3 2" xfId="288" xr:uid="{00000000-0005-0000-0000-00001F010000}"/>
    <cellStyle name="悪い" xfId="289" builtinId="27" customBuiltin="1"/>
    <cellStyle name="悪い 2" xfId="290" xr:uid="{00000000-0005-0000-0000-000021010000}"/>
    <cellStyle name="悪い 2 2" xfId="291" xr:uid="{00000000-0005-0000-0000-000022010000}"/>
    <cellStyle name="悪い 3" xfId="292" xr:uid="{00000000-0005-0000-0000-000023010000}"/>
    <cellStyle name="悪い 3 2" xfId="293" xr:uid="{00000000-0005-0000-0000-000024010000}"/>
    <cellStyle name="計算" xfId="294" builtinId="22" customBuiltin="1"/>
    <cellStyle name="計算 2" xfId="295" xr:uid="{00000000-0005-0000-0000-000026010000}"/>
    <cellStyle name="計算 2 2" xfId="296" xr:uid="{00000000-0005-0000-0000-000027010000}"/>
    <cellStyle name="計算 2 2 2" xfId="297" xr:uid="{00000000-0005-0000-0000-000028010000}"/>
    <cellStyle name="計算 2 2 2 2" xfId="298" xr:uid="{00000000-0005-0000-0000-000029010000}"/>
    <cellStyle name="計算 2 2 2 2 2" xfId="299" xr:uid="{00000000-0005-0000-0000-00002A010000}"/>
    <cellStyle name="計算 2 2 2 3" xfId="300" xr:uid="{00000000-0005-0000-0000-00002B010000}"/>
    <cellStyle name="計算 2 2 2 3 2" xfId="301" xr:uid="{00000000-0005-0000-0000-00002C010000}"/>
    <cellStyle name="計算 2 2 2 4" xfId="302" xr:uid="{00000000-0005-0000-0000-00002D010000}"/>
    <cellStyle name="計算 2 2 2 4 2" xfId="303" xr:uid="{00000000-0005-0000-0000-00002E010000}"/>
    <cellStyle name="計算 2 2 2 5" xfId="304" xr:uid="{00000000-0005-0000-0000-00002F010000}"/>
    <cellStyle name="計算 2 2 2 5 2" xfId="305" xr:uid="{00000000-0005-0000-0000-000030010000}"/>
    <cellStyle name="計算 2 2 2 6" xfId="306" xr:uid="{00000000-0005-0000-0000-000031010000}"/>
    <cellStyle name="計算 2 2 3" xfId="307" xr:uid="{00000000-0005-0000-0000-000032010000}"/>
    <cellStyle name="計算 2 2 3 2" xfId="308" xr:uid="{00000000-0005-0000-0000-000033010000}"/>
    <cellStyle name="計算 2 2 4" xfId="309" xr:uid="{00000000-0005-0000-0000-000034010000}"/>
    <cellStyle name="計算 2 2 4 2" xfId="310" xr:uid="{00000000-0005-0000-0000-000035010000}"/>
    <cellStyle name="計算 2 2 5" xfId="311" xr:uid="{00000000-0005-0000-0000-000036010000}"/>
    <cellStyle name="計算 2 2 5 2" xfId="312" xr:uid="{00000000-0005-0000-0000-000037010000}"/>
    <cellStyle name="計算 2 2 6" xfId="313" xr:uid="{00000000-0005-0000-0000-000038010000}"/>
    <cellStyle name="計算 2 2 6 2" xfId="314" xr:uid="{00000000-0005-0000-0000-000039010000}"/>
    <cellStyle name="計算 2 2 7" xfId="315" xr:uid="{00000000-0005-0000-0000-00003A010000}"/>
    <cellStyle name="計算 2 3" xfId="316" xr:uid="{00000000-0005-0000-0000-00003B010000}"/>
    <cellStyle name="計算 2 3 2" xfId="317" xr:uid="{00000000-0005-0000-0000-00003C010000}"/>
    <cellStyle name="計算 2 3 2 2" xfId="318" xr:uid="{00000000-0005-0000-0000-00003D010000}"/>
    <cellStyle name="計算 2 3 3" xfId="319" xr:uid="{00000000-0005-0000-0000-00003E010000}"/>
    <cellStyle name="計算 2 3 3 2" xfId="320" xr:uid="{00000000-0005-0000-0000-00003F010000}"/>
    <cellStyle name="計算 2 3 4" xfId="321" xr:uid="{00000000-0005-0000-0000-000040010000}"/>
    <cellStyle name="計算 2 3 4 2" xfId="322" xr:uid="{00000000-0005-0000-0000-000041010000}"/>
    <cellStyle name="計算 2 3 5" xfId="323" xr:uid="{00000000-0005-0000-0000-000042010000}"/>
    <cellStyle name="計算 2 3 5 2" xfId="324" xr:uid="{00000000-0005-0000-0000-000043010000}"/>
    <cellStyle name="計算 2 3 6" xfId="325" xr:uid="{00000000-0005-0000-0000-000044010000}"/>
    <cellStyle name="計算 2 4" xfId="326" xr:uid="{00000000-0005-0000-0000-000045010000}"/>
    <cellStyle name="計算 2 4 2" xfId="327" xr:uid="{00000000-0005-0000-0000-000046010000}"/>
    <cellStyle name="計算 2 5" xfId="328" xr:uid="{00000000-0005-0000-0000-000047010000}"/>
    <cellStyle name="計算 2 5 2" xfId="329" xr:uid="{00000000-0005-0000-0000-000048010000}"/>
    <cellStyle name="計算 2 6" xfId="330" xr:uid="{00000000-0005-0000-0000-000049010000}"/>
    <cellStyle name="計算 2 6 2" xfId="331" xr:uid="{00000000-0005-0000-0000-00004A010000}"/>
    <cellStyle name="計算 2 7" xfId="332" xr:uid="{00000000-0005-0000-0000-00004B010000}"/>
    <cellStyle name="計算 2 7 2" xfId="333" xr:uid="{00000000-0005-0000-0000-00004C010000}"/>
    <cellStyle name="計算 3" xfId="334" xr:uid="{00000000-0005-0000-0000-00004D010000}"/>
    <cellStyle name="計算 3 2" xfId="335" xr:uid="{00000000-0005-0000-0000-00004E010000}"/>
    <cellStyle name="警告文" xfId="336" builtinId="11" customBuiltin="1"/>
    <cellStyle name="警告文 2" xfId="337" xr:uid="{00000000-0005-0000-0000-000050010000}"/>
    <cellStyle name="警告文 2 2" xfId="338" xr:uid="{00000000-0005-0000-0000-000051010000}"/>
    <cellStyle name="警告文 3" xfId="339" xr:uid="{00000000-0005-0000-0000-000052010000}"/>
    <cellStyle name="警告文 3 2" xfId="340" xr:uid="{00000000-0005-0000-0000-000053010000}"/>
    <cellStyle name="桁区切り 2" xfId="341" xr:uid="{00000000-0005-0000-0000-000054010000}"/>
    <cellStyle name="見出し 1" xfId="342" builtinId="16" customBuiltin="1"/>
    <cellStyle name="見出し 1 2" xfId="343" xr:uid="{00000000-0005-0000-0000-000056010000}"/>
    <cellStyle name="見出し 1 2 2" xfId="344" xr:uid="{00000000-0005-0000-0000-000057010000}"/>
    <cellStyle name="見出し 1 3" xfId="345" xr:uid="{00000000-0005-0000-0000-000058010000}"/>
    <cellStyle name="見出し 1 3 2" xfId="346" xr:uid="{00000000-0005-0000-0000-000059010000}"/>
    <cellStyle name="見出し 2" xfId="347" builtinId="17" customBuiltin="1"/>
    <cellStyle name="見出し 2 2" xfId="348" xr:uid="{00000000-0005-0000-0000-00005B010000}"/>
    <cellStyle name="見出し 2 2 2" xfId="349" xr:uid="{00000000-0005-0000-0000-00005C010000}"/>
    <cellStyle name="見出し 2 3" xfId="350" xr:uid="{00000000-0005-0000-0000-00005D010000}"/>
    <cellStyle name="見出し 2 3 2" xfId="351" xr:uid="{00000000-0005-0000-0000-00005E010000}"/>
    <cellStyle name="見出し 3" xfId="352" builtinId="18" customBuiltin="1"/>
    <cellStyle name="見出し 3 2" xfId="353" xr:uid="{00000000-0005-0000-0000-000060010000}"/>
    <cellStyle name="見出し 3 2 2" xfId="354" xr:uid="{00000000-0005-0000-0000-000061010000}"/>
    <cellStyle name="見出し 3 3" xfId="355" xr:uid="{00000000-0005-0000-0000-000062010000}"/>
    <cellStyle name="見出し 3 3 2" xfId="356" xr:uid="{00000000-0005-0000-0000-000063010000}"/>
    <cellStyle name="見出し 4" xfId="357" builtinId="19" customBuiltin="1"/>
    <cellStyle name="見出し 4 2" xfId="358" xr:uid="{00000000-0005-0000-0000-000065010000}"/>
    <cellStyle name="見出し 4 2 2" xfId="359" xr:uid="{00000000-0005-0000-0000-000066010000}"/>
    <cellStyle name="見出し 4 3" xfId="360" xr:uid="{00000000-0005-0000-0000-000067010000}"/>
    <cellStyle name="見出し 4 3 2" xfId="361" xr:uid="{00000000-0005-0000-0000-000068010000}"/>
    <cellStyle name="集計" xfId="362" builtinId="25" customBuiltin="1"/>
    <cellStyle name="集計 2" xfId="363" xr:uid="{00000000-0005-0000-0000-00006A010000}"/>
    <cellStyle name="集計 2 2" xfId="364" xr:uid="{00000000-0005-0000-0000-00006B010000}"/>
    <cellStyle name="集計 2 2 2" xfId="365" xr:uid="{00000000-0005-0000-0000-00006C010000}"/>
    <cellStyle name="集計 2 2 2 2" xfId="366" xr:uid="{00000000-0005-0000-0000-00006D010000}"/>
    <cellStyle name="集計 2 2 2 2 2" xfId="367" xr:uid="{00000000-0005-0000-0000-00006E010000}"/>
    <cellStyle name="集計 2 2 2 3" xfId="368" xr:uid="{00000000-0005-0000-0000-00006F010000}"/>
    <cellStyle name="集計 2 2 2 3 2" xfId="369" xr:uid="{00000000-0005-0000-0000-000070010000}"/>
    <cellStyle name="集計 2 2 2 4" xfId="370" xr:uid="{00000000-0005-0000-0000-000071010000}"/>
    <cellStyle name="集計 2 2 2 4 2" xfId="371" xr:uid="{00000000-0005-0000-0000-000072010000}"/>
    <cellStyle name="集計 2 2 2 5" xfId="372" xr:uid="{00000000-0005-0000-0000-000073010000}"/>
    <cellStyle name="集計 2 2 2 5 2" xfId="373" xr:uid="{00000000-0005-0000-0000-000074010000}"/>
    <cellStyle name="集計 2 2 2 6" xfId="374" xr:uid="{00000000-0005-0000-0000-000075010000}"/>
    <cellStyle name="集計 2 2 3" xfId="375" xr:uid="{00000000-0005-0000-0000-000076010000}"/>
    <cellStyle name="集計 2 2 3 2" xfId="376" xr:uid="{00000000-0005-0000-0000-000077010000}"/>
    <cellStyle name="集計 2 2 4" xfId="377" xr:uid="{00000000-0005-0000-0000-000078010000}"/>
    <cellStyle name="集計 2 2 4 2" xfId="378" xr:uid="{00000000-0005-0000-0000-000079010000}"/>
    <cellStyle name="集計 2 2 5" xfId="379" xr:uid="{00000000-0005-0000-0000-00007A010000}"/>
    <cellStyle name="集計 2 2 5 2" xfId="380" xr:uid="{00000000-0005-0000-0000-00007B010000}"/>
    <cellStyle name="集計 2 2 6" xfId="381" xr:uid="{00000000-0005-0000-0000-00007C010000}"/>
    <cellStyle name="集計 2 2 6 2" xfId="382" xr:uid="{00000000-0005-0000-0000-00007D010000}"/>
    <cellStyle name="集計 2 2 7" xfId="383" xr:uid="{00000000-0005-0000-0000-00007E010000}"/>
    <cellStyle name="集計 2 3" xfId="384" xr:uid="{00000000-0005-0000-0000-00007F010000}"/>
    <cellStyle name="集計 2 3 2" xfId="385" xr:uid="{00000000-0005-0000-0000-000080010000}"/>
    <cellStyle name="集計 2 3 2 2" xfId="386" xr:uid="{00000000-0005-0000-0000-000081010000}"/>
    <cellStyle name="集計 2 3 3" xfId="387" xr:uid="{00000000-0005-0000-0000-000082010000}"/>
    <cellStyle name="集計 2 3 3 2" xfId="388" xr:uid="{00000000-0005-0000-0000-000083010000}"/>
    <cellStyle name="集計 2 3 4" xfId="389" xr:uid="{00000000-0005-0000-0000-000084010000}"/>
    <cellStyle name="集計 2 3 4 2" xfId="390" xr:uid="{00000000-0005-0000-0000-000085010000}"/>
    <cellStyle name="集計 2 3 5" xfId="391" xr:uid="{00000000-0005-0000-0000-000086010000}"/>
    <cellStyle name="集計 2 3 5 2" xfId="392" xr:uid="{00000000-0005-0000-0000-000087010000}"/>
    <cellStyle name="集計 2 3 6" xfId="393" xr:uid="{00000000-0005-0000-0000-000088010000}"/>
    <cellStyle name="集計 2 4" xfId="394" xr:uid="{00000000-0005-0000-0000-000089010000}"/>
    <cellStyle name="集計 2 4 2" xfId="395" xr:uid="{00000000-0005-0000-0000-00008A010000}"/>
    <cellStyle name="集計 2 5" xfId="396" xr:uid="{00000000-0005-0000-0000-00008B010000}"/>
    <cellStyle name="集計 2 5 2" xfId="397" xr:uid="{00000000-0005-0000-0000-00008C010000}"/>
    <cellStyle name="集計 2 6" xfId="398" xr:uid="{00000000-0005-0000-0000-00008D010000}"/>
    <cellStyle name="集計 2 6 2" xfId="399" xr:uid="{00000000-0005-0000-0000-00008E010000}"/>
    <cellStyle name="集計 2 7" xfId="400" xr:uid="{00000000-0005-0000-0000-00008F010000}"/>
    <cellStyle name="集計 2 7 2" xfId="401" xr:uid="{00000000-0005-0000-0000-000090010000}"/>
    <cellStyle name="集計 3" xfId="402" xr:uid="{00000000-0005-0000-0000-000091010000}"/>
    <cellStyle name="集計 3 2" xfId="403" xr:uid="{00000000-0005-0000-0000-000092010000}"/>
    <cellStyle name="出力" xfId="404" builtinId="21" customBuiltin="1"/>
    <cellStyle name="出力 2" xfId="405" xr:uid="{00000000-0005-0000-0000-000094010000}"/>
    <cellStyle name="出力 2 2" xfId="406" xr:uid="{00000000-0005-0000-0000-000095010000}"/>
    <cellStyle name="出力 2 2 2" xfId="407" xr:uid="{00000000-0005-0000-0000-000096010000}"/>
    <cellStyle name="出力 2 2 2 2" xfId="408" xr:uid="{00000000-0005-0000-0000-000097010000}"/>
    <cellStyle name="出力 2 2 2 2 2" xfId="409" xr:uid="{00000000-0005-0000-0000-000098010000}"/>
    <cellStyle name="出力 2 2 2 3" xfId="410" xr:uid="{00000000-0005-0000-0000-000099010000}"/>
    <cellStyle name="出力 2 2 2 3 2" xfId="411" xr:uid="{00000000-0005-0000-0000-00009A010000}"/>
    <cellStyle name="出力 2 2 2 4" xfId="412" xr:uid="{00000000-0005-0000-0000-00009B010000}"/>
    <cellStyle name="出力 2 2 2 4 2" xfId="413" xr:uid="{00000000-0005-0000-0000-00009C010000}"/>
    <cellStyle name="出力 2 2 2 5" xfId="414" xr:uid="{00000000-0005-0000-0000-00009D010000}"/>
    <cellStyle name="出力 2 2 2 5 2" xfId="415" xr:uid="{00000000-0005-0000-0000-00009E010000}"/>
    <cellStyle name="出力 2 2 2 6" xfId="416" xr:uid="{00000000-0005-0000-0000-00009F010000}"/>
    <cellStyle name="出力 2 2 3" xfId="417" xr:uid="{00000000-0005-0000-0000-0000A0010000}"/>
    <cellStyle name="出力 2 2 3 2" xfId="418" xr:uid="{00000000-0005-0000-0000-0000A1010000}"/>
    <cellStyle name="出力 2 2 4" xfId="419" xr:uid="{00000000-0005-0000-0000-0000A2010000}"/>
    <cellStyle name="出力 2 2 4 2" xfId="420" xr:uid="{00000000-0005-0000-0000-0000A3010000}"/>
    <cellStyle name="出力 2 2 5" xfId="421" xr:uid="{00000000-0005-0000-0000-0000A4010000}"/>
    <cellStyle name="出力 2 2 5 2" xfId="422" xr:uid="{00000000-0005-0000-0000-0000A5010000}"/>
    <cellStyle name="出力 2 2 6" xfId="423" xr:uid="{00000000-0005-0000-0000-0000A6010000}"/>
    <cellStyle name="出力 2 2 6 2" xfId="424" xr:uid="{00000000-0005-0000-0000-0000A7010000}"/>
    <cellStyle name="出力 2 2 7" xfId="425" xr:uid="{00000000-0005-0000-0000-0000A8010000}"/>
    <cellStyle name="出力 2 3" xfId="426" xr:uid="{00000000-0005-0000-0000-0000A9010000}"/>
    <cellStyle name="出力 2 3 2" xfId="427" xr:uid="{00000000-0005-0000-0000-0000AA010000}"/>
    <cellStyle name="出力 2 3 2 2" xfId="428" xr:uid="{00000000-0005-0000-0000-0000AB010000}"/>
    <cellStyle name="出力 2 3 3" xfId="429" xr:uid="{00000000-0005-0000-0000-0000AC010000}"/>
    <cellStyle name="出力 2 3 3 2" xfId="430" xr:uid="{00000000-0005-0000-0000-0000AD010000}"/>
    <cellStyle name="出力 2 3 4" xfId="431" xr:uid="{00000000-0005-0000-0000-0000AE010000}"/>
    <cellStyle name="出力 2 3 4 2" xfId="432" xr:uid="{00000000-0005-0000-0000-0000AF010000}"/>
    <cellStyle name="出力 2 3 5" xfId="433" xr:uid="{00000000-0005-0000-0000-0000B0010000}"/>
    <cellStyle name="出力 2 3 5 2" xfId="434" xr:uid="{00000000-0005-0000-0000-0000B1010000}"/>
    <cellStyle name="出力 2 3 6" xfId="435" xr:uid="{00000000-0005-0000-0000-0000B2010000}"/>
    <cellStyle name="出力 2 4" xfId="436" xr:uid="{00000000-0005-0000-0000-0000B3010000}"/>
    <cellStyle name="出力 2 4 2" xfId="437" xr:uid="{00000000-0005-0000-0000-0000B4010000}"/>
    <cellStyle name="出力 2 5" xfId="438" xr:uid="{00000000-0005-0000-0000-0000B5010000}"/>
    <cellStyle name="出力 2 5 2" xfId="439" xr:uid="{00000000-0005-0000-0000-0000B6010000}"/>
    <cellStyle name="出力 2 6" xfId="440" xr:uid="{00000000-0005-0000-0000-0000B7010000}"/>
    <cellStyle name="出力 2 6 2" xfId="441" xr:uid="{00000000-0005-0000-0000-0000B8010000}"/>
    <cellStyle name="出力 2 7" xfId="442" xr:uid="{00000000-0005-0000-0000-0000B9010000}"/>
    <cellStyle name="出力 2 7 2" xfId="443" xr:uid="{00000000-0005-0000-0000-0000BA010000}"/>
    <cellStyle name="出力 3" xfId="444" xr:uid="{00000000-0005-0000-0000-0000BB010000}"/>
    <cellStyle name="出力 3 2" xfId="445" xr:uid="{00000000-0005-0000-0000-0000BC010000}"/>
    <cellStyle name="説明文" xfId="446" builtinId="53" customBuiltin="1"/>
    <cellStyle name="説明文 2" xfId="447" xr:uid="{00000000-0005-0000-0000-0000BE010000}"/>
    <cellStyle name="説明文 2 2" xfId="448" xr:uid="{00000000-0005-0000-0000-0000BF010000}"/>
    <cellStyle name="説明文 3" xfId="449" xr:uid="{00000000-0005-0000-0000-0000C0010000}"/>
    <cellStyle name="説明文 3 2" xfId="450" xr:uid="{00000000-0005-0000-0000-0000C1010000}"/>
    <cellStyle name="通貨 2" xfId="451" xr:uid="{00000000-0005-0000-0000-0000C2010000}"/>
    <cellStyle name="入力" xfId="452" builtinId="20" customBuiltin="1"/>
    <cellStyle name="入力 2" xfId="453" xr:uid="{00000000-0005-0000-0000-0000C4010000}"/>
    <cellStyle name="入力 2 2" xfId="454" xr:uid="{00000000-0005-0000-0000-0000C5010000}"/>
    <cellStyle name="入力 2 2 2" xfId="455" xr:uid="{00000000-0005-0000-0000-0000C6010000}"/>
    <cellStyle name="入力 2 2 2 2" xfId="456" xr:uid="{00000000-0005-0000-0000-0000C7010000}"/>
    <cellStyle name="入力 2 2 2 2 2" xfId="457" xr:uid="{00000000-0005-0000-0000-0000C8010000}"/>
    <cellStyle name="入力 2 2 2 3" xfId="458" xr:uid="{00000000-0005-0000-0000-0000C9010000}"/>
    <cellStyle name="入力 2 2 2 3 2" xfId="459" xr:uid="{00000000-0005-0000-0000-0000CA010000}"/>
    <cellStyle name="入力 2 2 2 4" xfId="460" xr:uid="{00000000-0005-0000-0000-0000CB010000}"/>
    <cellStyle name="入力 2 2 2 4 2" xfId="461" xr:uid="{00000000-0005-0000-0000-0000CC010000}"/>
    <cellStyle name="入力 2 2 2 5" xfId="462" xr:uid="{00000000-0005-0000-0000-0000CD010000}"/>
    <cellStyle name="入力 2 2 2 5 2" xfId="463" xr:uid="{00000000-0005-0000-0000-0000CE010000}"/>
    <cellStyle name="入力 2 2 2 6" xfId="464" xr:uid="{00000000-0005-0000-0000-0000CF010000}"/>
    <cellStyle name="入力 2 2 3" xfId="465" xr:uid="{00000000-0005-0000-0000-0000D0010000}"/>
    <cellStyle name="入力 2 2 3 2" xfId="466" xr:uid="{00000000-0005-0000-0000-0000D1010000}"/>
    <cellStyle name="入力 2 2 4" xfId="467" xr:uid="{00000000-0005-0000-0000-0000D2010000}"/>
    <cellStyle name="入力 2 2 4 2" xfId="468" xr:uid="{00000000-0005-0000-0000-0000D3010000}"/>
    <cellStyle name="入力 2 2 5" xfId="469" xr:uid="{00000000-0005-0000-0000-0000D4010000}"/>
    <cellStyle name="入力 2 2 5 2" xfId="470" xr:uid="{00000000-0005-0000-0000-0000D5010000}"/>
    <cellStyle name="入力 2 2 6" xfId="471" xr:uid="{00000000-0005-0000-0000-0000D6010000}"/>
    <cellStyle name="入力 2 2 6 2" xfId="472" xr:uid="{00000000-0005-0000-0000-0000D7010000}"/>
    <cellStyle name="入力 2 2 7" xfId="473" xr:uid="{00000000-0005-0000-0000-0000D8010000}"/>
    <cellStyle name="入力 2 3" xfId="474" xr:uid="{00000000-0005-0000-0000-0000D9010000}"/>
    <cellStyle name="入力 2 3 2" xfId="475" xr:uid="{00000000-0005-0000-0000-0000DA010000}"/>
    <cellStyle name="入力 2 3 2 2" xfId="476" xr:uid="{00000000-0005-0000-0000-0000DB010000}"/>
    <cellStyle name="入力 2 3 3" xfId="477" xr:uid="{00000000-0005-0000-0000-0000DC010000}"/>
    <cellStyle name="入力 2 3 3 2" xfId="478" xr:uid="{00000000-0005-0000-0000-0000DD010000}"/>
    <cellStyle name="入力 2 3 4" xfId="479" xr:uid="{00000000-0005-0000-0000-0000DE010000}"/>
    <cellStyle name="入力 2 3 4 2" xfId="480" xr:uid="{00000000-0005-0000-0000-0000DF010000}"/>
    <cellStyle name="入力 2 3 5" xfId="481" xr:uid="{00000000-0005-0000-0000-0000E0010000}"/>
    <cellStyle name="入力 2 3 5 2" xfId="482" xr:uid="{00000000-0005-0000-0000-0000E1010000}"/>
    <cellStyle name="入力 2 3 6" xfId="483" xr:uid="{00000000-0005-0000-0000-0000E2010000}"/>
    <cellStyle name="入力 2 4" xfId="484" xr:uid="{00000000-0005-0000-0000-0000E3010000}"/>
    <cellStyle name="入力 2 4 2" xfId="485" xr:uid="{00000000-0005-0000-0000-0000E4010000}"/>
    <cellStyle name="入力 2 5" xfId="486" xr:uid="{00000000-0005-0000-0000-0000E5010000}"/>
    <cellStyle name="入力 2 5 2" xfId="487" xr:uid="{00000000-0005-0000-0000-0000E6010000}"/>
    <cellStyle name="入力 2 6" xfId="488" xr:uid="{00000000-0005-0000-0000-0000E7010000}"/>
    <cellStyle name="入力 2 6 2" xfId="489" xr:uid="{00000000-0005-0000-0000-0000E8010000}"/>
    <cellStyle name="入力 2 7" xfId="490" xr:uid="{00000000-0005-0000-0000-0000E9010000}"/>
    <cellStyle name="入力 2 7 2" xfId="491" xr:uid="{00000000-0005-0000-0000-0000EA010000}"/>
    <cellStyle name="入力 3" xfId="492" xr:uid="{00000000-0005-0000-0000-0000EB010000}"/>
    <cellStyle name="入力 3 2" xfId="493" xr:uid="{00000000-0005-0000-0000-0000EC010000}"/>
    <cellStyle name="標準" xfId="0" builtinId="0"/>
    <cellStyle name="標準 10" xfId="494" xr:uid="{00000000-0005-0000-0000-0000EE010000}"/>
    <cellStyle name="標準 11" xfId="495" xr:uid="{00000000-0005-0000-0000-0000EF010000}"/>
    <cellStyle name="標準 12" xfId="496" xr:uid="{00000000-0005-0000-0000-0000F0010000}"/>
    <cellStyle name="標準 13" xfId="497" xr:uid="{00000000-0005-0000-0000-0000F1010000}"/>
    <cellStyle name="標準 14" xfId="498" xr:uid="{00000000-0005-0000-0000-0000F2010000}"/>
    <cellStyle name="標準 15" xfId="499" xr:uid="{00000000-0005-0000-0000-0000F3010000}"/>
    <cellStyle name="標準 16" xfId="500" xr:uid="{00000000-0005-0000-0000-0000F4010000}"/>
    <cellStyle name="標準 17" xfId="501" xr:uid="{00000000-0005-0000-0000-0000F5010000}"/>
    <cellStyle name="標準 17 2" xfId="502" xr:uid="{00000000-0005-0000-0000-0000F6010000}"/>
    <cellStyle name="標準 2" xfId="503" xr:uid="{00000000-0005-0000-0000-0000F7010000}"/>
    <cellStyle name="標準 2 10" xfId="504" xr:uid="{00000000-0005-0000-0000-0000F8010000}"/>
    <cellStyle name="標準 2 10 2" xfId="505" xr:uid="{00000000-0005-0000-0000-0000F9010000}"/>
    <cellStyle name="標準 2 10 3" xfId="506" xr:uid="{00000000-0005-0000-0000-0000FA010000}"/>
    <cellStyle name="標準 2 10 4" xfId="507" xr:uid="{00000000-0005-0000-0000-0000FB010000}"/>
    <cellStyle name="標準 2 10 5" xfId="508" xr:uid="{00000000-0005-0000-0000-0000FC010000}"/>
    <cellStyle name="標準 2 11" xfId="509" xr:uid="{00000000-0005-0000-0000-0000FD010000}"/>
    <cellStyle name="標準 2 11 2" xfId="510" xr:uid="{00000000-0005-0000-0000-0000FE010000}"/>
    <cellStyle name="標準 2 11 3" xfId="511" xr:uid="{00000000-0005-0000-0000-0000FF010000}"/>
    <cellStyle name="標準 2 11 4" xfId="512" xr:uid="{00000000-0005-0000-0000-000000020000}"/>
    <cellStyle name="標準 2 11 5" xfId="513" xr:uid="{00000000-0005-0000-0000-000001020000}"/>
    <cellStyle name="標準 2 11 6" xfId="514" xr:uid="{00000000-0005-0000-0000-000002020000}"/>
    <cellStyle name="標準 2 11 7" xfId="515" xr:uid="{00000000-0005-0000-0000-000003020000}"/>
    <cellStyle name="標準 2 12" xfId="516" xr:uid="{00000000-0005-0000-0000-000004020000}"/>
    <cellStyle name="標準 2 12 2" xfId="517" xr:uid="{00000000-0005-0000-0000-000005020000}"/>
    <cellStyle name="標準 2 13" xfId="518" xr:uid="{00000000-0005-0000-0000-000006020000}"/>
    <cellStyle name="標準 2 13 2" xfId="519" xr:uid="{00000000-0005-0000-0000-000007020000}"/>
    <cellStyle name="標準 2 13 3" xfId="520" xr:uid="{00000000-0005-0000-0000-000008020000}"/>
    <cellStyle name="標準 2 13 4" xfId="521" xr:uid="{00000000-0005-0000-0000-000009020000}"/>
    <cellStyle name="標準 2 13 5" xfId="522" xr:uid="{00000000-0005-0000-0000-00000A020000}"/>
    <cellStyle name="標準 2 14" xfId="523" xr:uid="{00000000-0005-0000-0000-00000B020000}"/>
    <cellStyle name="標準 2 15" xfId="524" xr:uid="{00000000-0005-0000-0000-00000C020000}"/>
    <cellStyle name="標準 2 15 2" xfId="525" xr:uid="{00000000-0005-0000-0000-00000D020000}"/>
    <cellStyle name="標準 2 15 3" xfId="526" xr:uid="{00000000-0005-0000-0000-00000E020000}"/>
    <cellStyle name="標準 2 15 4" xfId="527" xr:uid="{00000000-0005-0000-0000-00000F020000}"/>
    <cellStyle name="標準 2 15 5" xfId="528" xr:uid="{00000000-0005-0000-0000-000010020000}"/>
    <cellStyle name="標準 2 15 6" xfId="529" xr:uid="{00000000-0005-0000-0000-000011020000}"/>
    <cellStyle name="標準 2 16" xfId="530" xr:uid="{00000000-0005-0000-0000-000012020000}"/>
    <cellStyle name="標準 2 17" xfId="531" xr:uid="{00000000-0005-0000-0000-000013020000}"/>
    <cellStyle name="標準 2 18" xfId="532" xr:uid="{00000000-0005-0000-0000-000014020000}"/>
    <cellStyle name="標準 2 19" xfId="533" xr:uid="{00000000-0005-0000-0000-000015020000}"/>
    <cellStyle name="標準 2 2" xfId="534" xr:uid="{00000000-0005-0000-0000-000016020000}"/>
    <cellStyle name="標準 2 2 2" xfId="535" xr:uid="{00000000-0005-0000-0000-000017020000}"/>
    <cellStyle name="標準 2 2 2 2" xfId="536" xr:uid="{00000000-0005-0000-0000-000018020000}"/>
    <cellStyle name="標準 2 2 2 3" xfId="537" xr:uid="{00000000-0005-0000-0000-000019020000}"/>
    <cellStyle name="標準 2 2 2 4" xfId="538" xr:uid="{00000000-0005-0000-0000-00001A020000}"/>
    <cellStyle name="標準 2 2 2 4 2" xfId="539" xr:uid="{00000000-0005-0000-0000-00001B020000}"/>
    <cellStyle name="標準 2 2 2 4 3" xfId="540" xr:uid="{00000000-0005-0000-0000-00001C020000}"/>
    <cellStyle name="標準 2 2 2 4 4" xfId="541" xr:uid="{00000000-0005-0000-0000-00001D020000}"/>
    <cellStyle name="標準 2 2 2 4 5" xfId="542" xr:uid="{00000000-0005-0000-0000-00001E020000}"/>
    <cellStyle name="標準 2 2 3" xfId="543" xr:uid="{00000000-0005-0000-0000-00001F020000}"/>
    <cellStyle name="標準 2 2 3 2" xfId="544" xr:uid="{00000000-0005-0000-0000-000020020000}"/>
    <cellStyle name="標準 2 2 3 3" xfId="545" xr:uid="{00000000-0005-0000-0000-000021020000}"/>
    <cellStyle name="標準 2 2 4" xfId="546" xr:uid="{00000000-0005-0000-0000-000022020000}"/>
    <cellStyle name="標準 2 2 5" xfId="547" xr:uid="{00000000-0005-0000-0000-000023020000}"/>
    <cellStyle name="標準 2 2 6" xfId="548" xr:uid="{00000000-0005-0000-0000-000024020000}"/>
    <cellStyle name="標準 2 2 7" xfId="549" xr:uid="{00000000-0005-0000-0000-000025020000}"/>
    <cellStyle name="標準 2 2_AJW660 sdaa2006(条件書)" xfId="550" xr:uid="{00000000-0005-0000-0000-000026020000}"/>
    <cellStyle name="標準 2 20" xfId="551" xr:uid="{00000000-0005-0000-0000-000027020000}"/>
    <cellStyle name="標準 2 3" xfId="552" xr:uid="{00000000-0005-0000-0000-000028020000}"/>
    <cellStyle name="標準 2 3 2" xfId="553" xr:uid="{00000000-0005-0000-0000-000029020000}"/>
    <cellStyle name="標準 2 3 2 2" xfId="554" xr:uid="{00000000-0005-0000-0000-00002A020000}"/>
    <cellStyle name="標準 2 3 3" xfId="555" xr:uid="{00000000-0005-0000-0000-00002B020000}"/>
    <cellStyle name="標準 2 3 3 2" xfId="556" xr:uid="{00000000-0005-0000-0000-00002C020000}"/>
    <cellStyle name="標準 2 3 4" xfId="557" xr:uid="{00000000-0005-0000-0000-00002D020000}"/>
    <cellStyle name="標準 2 3 4 2" xfId="558" xr:uid="{00000000-0005-0000-0000-00002E020000}"/>
    <cellStyle name="標準 2 3 4 3" xfId="559" xr:uid="{00000000-0005-0000-0000-00002F020000}"/>
    <cellStyle name="標準 2 3 4 4" xfId="560" xr:uid="{00000000-0005-0000-0000-000030020000}"/>
    <cellStyle name="標準 2 3 4 5" xfId="561" xr:uid="{00000000-0005-0000-0000-000031020000}"/>
    <cellStyle name="標準 2 3 5" xfId="562" xr:uid="{00000000-0005-0000-0000-000032020000}"/>
    <cellStyle name="標準 2 3 5 2" xfId="563" xr:uid="{00000000-0005-0000-0000-000033020000}"/>
    <cellStyle name="標準 2 3 6" xfId="564" xr:uid="{00000000-0005-0000-0000-000034020000}"/>
    <cellStyle name="標準 2 3 7" xfId="565" xr:uid="{00000000-0005-0000-0000-000035020000}"/>
    <cellStyle name="標準 2 3 8" xfId="566" xr:uid="{00000000-0005-0000-0000-000036020000}"/>
    <cellStyle name="標準 2 3 9" xfId="567" xr:uid="{00000000-0005-0000-0000-000037020000}"/>
    <cellStyle name="標準 2 4" xfId="568" xr:uid="{00000000-0005-0000-0000-000038020000}"/>
    <cellStyle name="標準 2 4 2" xfId="569" xr:uid="{00000000-0005-0000-0000-000039020000}"/>
    <cellStyle name="標準 2 4 3" xfId="570" xr:uid="{00000000-0005-0000-0000-00003A020000}"/>
    <cellStyle name="標準 2 5" xfId="571" xr:uid="{00000000-0005-0000-0000-00003B020000}"/>
    <cellStyle name="標準 2 5 2" xfId="572" xr:uid="{00000000-0005-0000-0000-00003C020000}"/>
    <cellStyle name="標準 2 5 2 2" xfId="573" xr:uid="{00000000-0005-0000-0000-00003D020000}"/>
    <cellStyle name="標準 2 5 3" xfId="574" xr:uid="{00000000-0005-0000-0000-00003E020000}"/>
    <cellStyle name="標準 2 5 4" xfId="575" xr:uid="{00000000-0005-0000-0000-00003F020000}"/>
    <cellStyle name="標準 2 5 5" xfId="576" xr:uid="{00000000-0005-0000-0000-000040020000}"/>
    <cellStyle name="標準 2 5 6" xfId="577" xr:uid="{00000000-0005-0000-0000-000041020000}"/>
    <cellStyle name="標準 2 5 7" xfId="578" xr:uid="{00000000-0005-0000-0000-000042020000}"/>
    <cellStyle name="標準 2 6" xfId="579" xr:uid="{00000000-0005-0000-0000-000043020000}"/>
    <cellStyle name="標準 2 6 2" xfId="580" xr:uid="{00000000-0005-0000-0000-000044020000}"/>
    <cellStyle name="標準 2 6 2 2" xfId="581" xr:uid="{00000000-0005-0000-0000-000045020000}"/>
    <cellStyle name="標準 2 6 3" xfId="582" xr:uid="{00000000-0005-0000-0000-000046020000}"/>
    <cellStyle name="標準 2 7" xfId="583" xr:uid="{00000000-0005-0000-0000-000047020000}"/>
    <cellStyle name="標準 2 7 2" xfId="584" xr:uid="{00000000-0005-0000-0000-000048020000}"/>
    <cellStyle name="標準 2 7 2 2" xfId="585" xr:uid="{00000000-0005-0000-0000-000049020000}"/>
    <cellStyle name="標準 2 7 3" xfId="586" xr:uid="{00000000-0005-0000-0000-00004A020000}"/>
    <cellStyle name="標準 2 8" xfId="587" xr:uid="{00000000-0005-0000-0000-00004B020000}"/>
    <cellStyle name="標準 2 8 2" xfId="588" xr:uid="{00000000-0005-0000-0000-00004C020000}"/>
    <cellStyle name="標準 2 9" xfId="589" xr:uid="{00000000-0005-0000-0000-00004D020000}"/>
    <cellStyle name="標準 2 9 2" xfId="590" xr:uid="{00000000-0005-0000-0000-00004E020000}"/>
    <cellStyle name="標準 2 9 3" xfId="591" xr:uid="{00000000-0005-0000-0000-00004F020000}"/>
    <cellStyle name="標準 2 9 4" xfId="592" xr:uid="{00000000-0005-0000-0000-000050020000}"/>
    <cellStyle name="標準 2 9 5" xfId="593" xr:uid="{00000000-0005-0000-0000-000051020000}"/>
    <cellStyle name="標準 2_サービス定義" xfId="594" xr:uid="{00000000-0005-0000-0000-000052020000}"/>
    <cellStyle name="標準 3" xfId="595" xr:uid="{00000000-0005-0000-0000-000053020000}"/>
    <cellStyle name="標準 3 10" xfId="596" xr:uid="{00000000-0005-0000-0000-000054020000}"/>
    <cellStyle name="標準 3 11" xfId="597" xr:uid="{00000000-0005-0000-0000-000055020000}"/>
    <cellStyle name="標準 3 12" xfId="598" xr:uid="{00000000-0005-0000-0000-000056020000}"/>
    <cellStyle name="標準 3 2" xfId="599" xr:uid="{00000000-0005-0000-0000-000057020000}"/>
    <cellStyle name="標準 3 2 2" xfId="600" xr:uid="{00000000-0005-0000-0000-000058020000}"/>
    <cellStyle name="標準 3 2 2 2" xfId="601" xr:uid="{00000000-0005-0000-0000-000059020000}"/>
    <cellStyle name="標準 3 2 3" xfId="602" xr:uid="{00000000-0005-0000-0000-00005A020000}"/>
    <cellStyle name="標準 3 2 4" xfId="603" xr:uid="{00000000-0005-0000-0000-00005B020000}"/>
    <cellStyle name="標準 3 3" xfId="604" xr:uid="{00000000-0005-0000-0000-00005C020000}"/>
    <cellStyle name="標準 3 3 2" xfId="605" xr:uid="{00000000-0005-0000-0000-00005D020000}"/>
    <cellStyle name="標準 3 4" xfId="606" xr:uid="{00000000-0005-0000-0000-00005E020000}"/>
    <cellStyle name="標準 3 4 2" xfId="607" xr:uid="{00000000-0005-0000-0000-00005F020000}"/>
    <cellStyle name="標準 3 5" xfId="608" xr:uid="{00000000-0005-0000-0000-000060020000}"/>
    <cellStyle name="標準 3 5 2" xfId="609" xr:uid="{00000000-0005-0000-0000-000061020000}"/>
    <cellStyle name="標準 3 6" xfId="610" xr:uid="{00000000-0005-0000-0000-000062020000}"/>
    <cellStyle name="標準 3 6 2" xfId="611" xr:uid="{00000000-0005-0000-0000-000063020000}"/>
    <cellStyle name="標準 3 6 3" xfId="612" xr:uid="{00000000-0005-0000-0000-000064020000}"/>
    <cellStyle name="標準 3 6 4" xfId="613" xr:uid="{00000000-0005-0000-0000-000065020000}"/>
    <cellStyle name="標準 3 6 5" xfId="614" xr:uid="{00000000-0005-0000-0000-000066020000}"/>
    <cellStyle name="標準 3 7" xfId="615" xr:uid="{00000000-0005-0000-0000-000067020000}"/>
    <cellStyle name="標準 3 7 2" xfId="616" xr:uid="{00000000-0005-0000-0000-000068020000}"/>
    <cellStyle name="標準 3 8" xfId="617" xr:uid="{00000000-0005-0000-0000-000069020000}"/>
    <cellStyle name="標準 3 9" xfId="618" xr:uid="{00000000-0005-0000-0000-00006A020000}"/>
    <cellStyle name="標準 3_AJW660 sdaa2006(条件書)" xfId="619" xr:uid="{00000000-0005-0000-0000-00006B020000}"/>
    <cellStyle name="標準 4" xfId="620" xr:uid="{00000000-0005-0000-0000-00006C020000}"/>
    <cellStyle name="標準 4 2" xfId="621" xr:uid="{00000000-0005-0000-0000-00006D020000}"/>
    <cellStyle name="標準 4 2 2" xfId="622" xr:uid="{00000000-0005-0000-0000-00006E020000}"/>
    <cellStyle name="標準 4 2 2 2" xfId="623" xr:uid="{00000000-0005-0000-0000-00006F020000}"/>
    <cellStyle name="標準 4 2 2 3" xfId="624" xr:uid="{00000000-0005-0000-0000-000070020000}"/>
    <cellStyle name="標準 4 2 2 4" xfId="625" xr:uid="{00000000-0005-0000-0000-000071020000}"/>
    <cellStyle name="標準 4 2 2 5" xfId="626" xr:uid="{00000000-0005-0000-0000-000072020000}"/>
    <cellStyle name="標準 4 2 2 6" xfId="627" xr:uid="{00000000-0005-0000-0000-000073020000}"/>
    <cellStyle name="標準 4 2 3" xfId="628" xr:uid="{00000000-0005-0000-0000-000074020000}"/>
    <cellStyle name="標準 4 2 4" xfId="629" xr:uid="{00000000-0005-0000-0000-000075020000}"/>
    <cellStyle name="標準 4 2 4 2" xfId="630" xr:uid="{00000000-0005-0000-0000-000076020000}"/>
    <cellStyle name="標準 4 2 4 3" xfId="631" xr:uid="{00000000-0005-0000-0000-000077020000}"/>
    <cellStyle name="標準 4 2 4 4" xfId="632" xr:uid="{00000000-0005-0000-0000-000078020000}"/>
    <cellStyle name="標準 4 2 4 5" xfId="633" xr:uid="{00000000-0005-0000-0000-000079020000}"/>
    <cellStyle name="標準 4 2 4 6" xfId="634" xr:uid="{00000000-0005-0000-0000-00007A020000}"/>
    <cellStyle name="標準 4 2 5" xfId="635" xr:uid="{00000000-0005-0000-0000-00007B020000}"/>
    <cellStyle name="標準 4 2 6" xfId="636" xr:uid="{00000000-0005-0000-0000-00007C020000}"/>
    <cellStyle name="標準 4 2 7" xfId="637" xr:uid="{00000000-0005-0000-0000-00007D020000}"/>
    <cellStyle name="標準 4 2 8" xfId="638" xr:uid="{00000000-0005-0000-0000-00007E020000}"/>
    <cellStyle name="標準 4 2 9" xfId="639" xr:uid="{00000000-0005-0000-0000-00007F020000}"/>
    <cellStyle name="標準 4 3" xfId="640" xr:uid="{00000000-0005-0000-0000-000080020000}"/>
    <cellStyle name="標準 4 3 2" xfId="641" xr:uid="{00000000-0005-0000-0000-000081020000}"/>
    <cellStyle name="標準 4 4" xfId="642" xr:uid="{00000000-0005-0000-0000-000082020000}"/>
    <cellStyle name="標準 4 4 2" xfId="643" xr:uid="{00000000-0005-0000-0000-000083020000}"/>
    <cellStyle name="標準 4 4 2 2" xfId="644" xr:uid="{00000000-0005-0000-0000-000084020000}"/>
    <cellStyle name="標準 4 4 2 3" xfId="645" xr:uid="{00000000-0005-0000-0000-000085020000}"/>
    <cellStyle name="標準 4 4 2 4" xfId="646" xr:uid="{00000000-0005-0000-0000-000086020000}"/>
    <cellStyle name="標準 4 4 2 5" xfId="647" xr:uid="{00000000-0005-0000-0000-000087020000}"/>
    <cellStyle name="標準 4 4 3" xfId="648" xr:uid="{00000000-0005-0000-0000-000088020000}"/>
    <cellStyle name="標準 4 4 4" xfId="649" xr:uid="{00000000-0005-0000-0000-000089020000}"/>
    <cellStyle name="標準 4 4 5" xfId="650" xr:uid="{00000000-0005-0000-0000-00008A020000}"/>
    <cellStyle name="標準 4 4 6" xfId="651" xr:uid="{00000000-0005-0000-0000-00008B020000}"/>
    <cellStyle name="標準 4 5" xfId="652" xr:uid="{00000000-0005-0000-0000-00008C020000}"/>
    <cellStyle name="標準 4 5 2" xfId="653" xr:uid="{00000000-0005-0000-0000-00008D020000}"/>
    <cellStyle name="標準 4 5 3" xfId="654" xr:uid="{00000000-0005-0000-0000-00008E020000}"/>
    <cellStyle name="標準 4 5 4" xfId="655" xr:uid="{00000000-0005-0000-0000-00008F020000}"/>
    <cellStyle name="標準 4 5 5" xfId="656" xr:uid="{00000000-0005-0000-0000-000090020000}"/>
    <cellStyle name="標準 4 5 6" xfId="657" xr:uid="{00000000-0005-0000-0000-000091020000}"/>
    <cellStyle name="標準 4 6" xfId="658" xr:uid="{00000000-0005-0000-0000-000092020000}"/>
    <cellStyle name="標準 4 7" xfId="659" xr:uid="{00000000-0005-0000-0000-000093020000}"/>
    <cellStyle name="標準 4 7 2" xfId="660" xr:uid="{00000000-0005-0000-0000-000094020000}"/>
    <cellStyle name="標準 4 7 3" xfId="661" xr:uid="{00000000-0005-0000-0000-000095020000}"/>
    <cellStyle name="標準 4 7 4" xfId="662" xr:uid="{00000000-0005-0000-0000-000096020000}"/>
    <cellStyle name="標準 4 7 5" xfId="663" xr:uid="{00000000-0005-0000-0000-000097020000}"/>
    <cellStyle name="標準 4 7 6" xfId="664" xr:uid="{00000000-0005-0000-0000-000098020000}"/>
    <cellStyle name="標準 4 8" xfId="665" xr:uid="{00000000-0005-0000-0000-000099020000}"/>
    <cellStyle name="標準 5" xfId="666" xr:uid="{00000000-0005-0000-0000-00009A020000}"/>
    <cellStyle name="標準 5 2" xfId="667" xr:uid="{00000000-0005-0000-0000-00009B020000}"/>
    <cellStyle name="標準 5 3" xfId="668" xr:uid="{00000000-0005-0000-0000-00009C020000}"/>
    <cellStyle name="標準 5 4" xfId="669" xr:uid="{00000000-0005-0000-0000-00009D020000}"/>
    <cellStyle name="標準 6" xfId="670" xr:uid="{00000000-0005-0000-0000-00009E020000}"/>
    <cellStyle name="標準 6 2" xfId="671" xr:uid="{00000000-0005-0000-0000-00009F020000}"/>
    <cellStyle name="標準 6 2 2" xfId="672" xr:uid="{00000000-0005-0000-0000-0000A0020000}"/>
    <cellStyle name="標準 6 3" xfId="673" xr:uid="{00000000-0005-0000-0000-0000A1020000}"/>
    <cellStyle name="標準 6 4" xfId="674" xr:uid="{00000000-0005-0000-0000-0000A2020000}"/>
    <cellStyle name="標準 7" xfId="675" xr:uid="{00000000-0005-0000-0000-0000A3020000}"/>
    <cellStyle name="標準 7 2" xfId="676" xr:uid="{00000000-0005-0000-0000-0000A4020000}"/>
    <cellStyle name="標準 7 2 2" xfId="677" xr:uid="{00000000-0005-0000-0000-0000A5020000}"/>
    <cellStyle name="標準 7 3" xfId="678" xr:uid="{00000000-0005-0000-0000-0000A6020000}"/>
    <cellStyle name="標準 8" xfId="679" xr:uid="{00000000-0005-0000-0000-0000A7020000}"/>
    <cellStyle name="標準 8 2" xfId="680" xr:uid="{00000000-0005-0000-0000-0000A8020000}"/>
    <cellStyle name="標準 8 2 2" xfId="681" xr:uid="{00000000-0005-0000-0000-0000A9020000}"/>
    <cellStyle name="標準 8 2 2 2" xfId="682" xr:uid="{00000000-0005-0000-0000-0000AA020000}"/>
    <cellStyle name="標準 8 2 2 2 2" xfId="683" xr:uid="{00000000-0005-0000-0000-0000AB020000}"/>
    <cellStyle name="標準 8 2 2 3" xfId="684" xr:uid="{00000000-0005-0000-0000-0000AC020000}"/>
    <cellStyle name="標準 8 2 3" xfId="685" xr:uid="{00000000-0005-0000-0000-0000AD020000}"/>
    <cellStyle name="標準 8 2 3 2" xfId="686" xr:uid="{00000000-0005-0000-0000-0000AE020000}"/>
    <cellStyle name="標準 8 2 4" xfId="687" xr:uid="{00000000-0005-0000-0000-0000AF020000}"/>
    <cellStyle name="標準 8 3" xfId="688" xr:uid="{00000000-0005-0000-0000-0000B0020000}"/>
    <cellStyle name="標準 8 3 2" xfId="689" xr:uid="{00000000-0005-0000-0000-0000B1020000}"/>
    <cellStyle name="標準 8 3 2 2" xfId="690" xr:uid="{00000000-0005-0000-0000-0000B2020000}"/>
    <cellStyle name="標準 8 3 3" xfId="691" xr:uid="{00000000-0005-0000-0000-0000B3020000}"/>
    <cellStyle name="標準 8 4" xfId="692" xr:uid="{00000000-0005-0000-0000-0000B4020000}"/>
    <cellStyle name="標準 8 4 2" xfId="693" xr:uid="{00000000-0005-0000-0000-0000B5020000}"/>
    <cellStyle name="標準 8 5" xfId="694" xr:uid="{00000000-0005-0000-0000-0000B6020000}"/>
    <cellStyle name="標準 8 5 2" xfId="695" xr:uid="{00000000-0005-0000-0000-0000B7020000}"/>
    <cellStyle name="標準 9" xfId="696" xr:uid="{00000000-0005-0000-0000-0000B8020000}"/>
    <cellStyle name="標準 9 2" xfId="697" xr:uid="{00000000-0005-0000-0000-0000B9020000}"/>
    <cellStyle name="標準 9 3" xfId="698" xr:uid="{00000000-0005-0000-0000-0000BA020000}"/>
    <cellStyle name="標準 9 3 2" xfId="699" xr:uid="{00000000-0005-0000-0000-0000BB020000}"/>
    <cellStyle name="標準 9 4" xfId="700" xr:uid="{00000000-0005-0000-0000-0000BC020000}"/>
    <cellStyle name="標準_(MBAA0100)【ＡＣＰ株式売買注文】-001_正常ケースv1.00" xfId="701" xr:uid="{00000000-0005-0000-0000-0000BD020000}"/>
    <cellStyle name="標準_060-310-2074【債券残高】ＩＴａ１仕様書（兼報告書）【MGAA8900】売却可能残高照会（国内債券）v1.00" xfId="702" xr:uid="{00000000-0005-0000-0000-0000BE020000}"/>
    <cellStyle name="標準_060-310-xxxx ＩＴａ１仕様書（兼報告書）(MBEA4000)（ＡＣＰ（取引システム）日々決算ファンド買付）v1.00" xfId="703" xr:uid="{00000000-0005-0000-0000-0000BF020000}"/>
    <cellStyle name="標準_060-310-XXXXＩＴａ１仕様書（兼報告書）(MGAQ65D2)【ＡＣＰ余力算出用概算金額リカバリデータ抽出処理】v1.00" xfId="704" xr:uid="{00000000-0005-0000-0000-0000C0020000}"/>
    <cellStyle name="標準_ITa1仕様書（兼報告書）(MAER6700)【ＡＣＰ精算ロック銀行連携データ作成】" xfId="711" xr:uid="{00000000-0005-0000-0000-0000C1020000}"/>
    <cellStyle name="標準_ＩＴａ１仕様書（兼報告書）（MBKA0100）【ACP外国株式売買注文】v1.00" xfId="705" xr:uid="{00000000-0005-0000-0000-0000C2020000}"/>
    <cellStyle name="良い" xfId="706" builtinId="26" customBuiltin="1"/>
    <cellStyle name="良い 2" xfId="707" xr:uid="{00000000-0005-0000-0000-0000C4020000}"/>
    <cellStyle name="良い 2 2" xfId="708" xr:uid="{00000000-0005-0000-0000-0000C5020000}"/>
    <cellStyle name="良い 3" xfId="709" xr:uid="{00000000-0005-0000-0000-0000C6020000}"/>
    <cellStyle name="良い 3 2" xfId="710" xr:uid="{00000000-0005-0000-0000-0000C7020000}"/>
  </cellStyles>
  <dxfs count="0"/>
  <tableStyles count="0" defaultTableStyle="TableStyleMedium2" defaultPivotStyle="PivotStyleLight16"/>
  <colors>
    <mruColors>
      <color rgb="FFFFFF99"/>
      <color rgb="FFEE9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60960</xdr:rowOff>
    </xdr:from>
    <xdr:to>
      <xdr:col>4</xdr:col>
      <xdr:colOff>131445</xdr:colOff>
      <xdr:row>0</xdr:row>
      <xdr:rowOff>441960</xdr:rowOff>
    </xdr:to>
    <xdr:sp macro="" textlink="">
      <xdr:nvSpPr>
        <xdr:cNvPr id="69633" name="テキスト 41">
          <a:extLst>
            <a:ext uri="{FF2B5EF4-FFF2-40B4-BE49-F238E27FC236}">
              <a16:creationId xmlns:a16="http://schemas.microsoft.com/office/drawing/2014/main" id="{00000000-0008-0000-0800-000001100100}"/>
            </a:ext>
          </a:extLst>
        </xdr:cNvPr>
        <xdr:cNvSpPr txBox="1">
          <a:spLocks noChangeArrowheads="1"/>
        </xdr:cNvSpPr>
      </xdr:nvSpPr>
      <xdr:spPr bwMode="auto">
        <a:xfrm>
          <a:off x="45720" y="60960"/>
          <a:ext cx="213360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ＩＴａ実施チェックリスト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  <xdr:twoCellAnchor>
    <xdr:from>
      <xdr:col>1</xdr:col>
      <xdr:colOff>0</xdr:colOff>
      <xdr:row>1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69634" name="Text Box 2">
          <a:extLst>
            <a:ext uri="{FF2B5EF4-FFF2-40B4-BE49-F238E27FC236}">
              <a16:creationId xmlns:a16="http://schemas.microsoft.com/office/drawing/2014/main" id="{00000000-0008-0000-0800-000002100100}"/>
            </a:ext>
          </a:extLst>
        </xdr:cNvPr>
        <xdr:cNvSpPr txBox="1">
          <a:spLocks noChangeArrowheads="1"/>
        </xdr:cNvSpPr>
      </xdr:nvSpPr>
      <xdr:spPr bwMode="auto">
        <a:xfrm>
          <a:off x="0" y="472440"/>
          <a:ext cx="0" cy="5486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□大和証券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□大和ＳＢＣＭ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□両社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□その他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（                       ）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5</xdr:row>
      <xdr:rowOff>22860</xdr:rowOff>
    </xdr:from>
    <xdr:to>
      <xdr:col>13</xdr:col>
      <xdr:colOff>15240</xdr:colOff>
      <xdr:row>7</xdr:row>
      <xdr:rowOff>99060</xdr:rowOff>
    </xdr:to>
    <xdr:sp macro="" textlink="">
      <xdr:nvSpPr>
        <xdr:cNvPr id="68609" name="テキスト 41">
          <a:extLst>
            <a:ext uri="{FF2B5EF4-FFF2-40B4-BE49-F238E27FC236}">
              <a16:creationId xmlns:a16="http://schemas.microsoft.com/office/drawing/2014/main" id="{00000000-0008-0000-0900-0000010C0100}"/>
            </a:ext>
          </a:extLst>
        </xdr:cNvPr>
        <xdr:cNvSpPr txBox="1">
          <a:spLocks noChangeArrowheads="1"/>
        </xdr:cNvSpPr>
      </xdr:nvSpPr>
      <xdr:spPr bwMode="auto">
        <a:xfrm>
          <a:off x="228600" y="891540"/>
          <a:ext cx="2164080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ＩＴａ１未実施テスト一覧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645795</xdr:colOff>
      <xdr:row>12</xdr:row>
      <xdr:rowOff>30480</xdr:rowOff>
    </xdr:from>
    <xdr:to>
      <xdr:col>9</xdr:col>
      <xdr:colOff>148495</xdr:colOff>
      <xdr:row>19</xdr:row>
      <xdr:rowOff>45720</xdr:rowOff>
    </xdr:to>
    <xdr:sp macro="" textlink="">
      <xdr:nvSpPr>
        <xdr:cNvPr id="53249" name="Text Box 1">
          <a:extLst>
            <a:ext uri="{FF2B5EF4-FFF2-40B4-BE49-F238E27FC236}">
              <a16:creationId xmlns:a16="http://schemas.microsoft.com/office/drawing/2014/main" id="{00000000-0008-0000-0A00-000001D00000}"/>
            </a:ext>
          </a:extLst>
        </xdr:cNvPr>
        <xdr:cNvSpPr txBox="1">
          <a:spLocks noChangeArrowheads="1"/>
        </xdr:cNvSpPr>
      </xdr:nvSpPr>
      <xdr:spPr bwMode="auto">
        <a:xfrm>
          <a:off x="3048000" y="2042160"/>
          <a:ext cx="2636520" cy="11887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ja-JP" altLang="en-US" sz="2000" b="1" i="0" u="none" strike="noStrike" baseline="0">
              <a:solidFill>
                <a:srgbClr val="C0C0C0"/>
              </a:solidFill>
              <a:latin typeface="ＭＳ Ｐゴシック"/>
              <a:ea typeface="ＭＳ Ｐゴシック"/>
            </a:rPr>
            <a:t>－裏表紙－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SFILE02\Data\&#25104;&#26524;&#29289;\&#35201;&#20214;&#23450;&#32681;(&#19979;&#25975;&#12365;&#12514;&#12487;&#12523;)\&#20316;&#25104;&#20013;&#12527;&#12540;&#12463;\09&#32207;&#21208;\ds\23&#27770;&#31639;_OL_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95.164\dir_pj\DOCUME~1\sraGorai\LOCALS~1\Temp\&#12298;&#12469;&#12531;&#12503;&#12523;&#12288;&#12456;&#12499;&#12487;&#12531;&#12473;&#12299;&#22806;&#22269;&#26666;&#24335;&#24540;&#21215;&#21462;&#28040;&#65288;&#26412;&#37096;&#65289;&#21463;&#20184;&#65288;MBLA0600&#65289;&#65288;&#28155;&#20184;&#65298;&#65289;v1.0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ys.dir.co.jp\document\&#20849;&#36890;&#12456;&#12522;&#12450;\&#31649;&#29702;&#12539;&#20225;&#30011;\&#12458;&#12501;&#12471;&#12519;&#12450;&#38306;&#36899;\&#20844;&#38283;&#24773;&#22577;(CCM)\06_&#22522;&#24185;&#19968;&#37096;&#12458;&#12501;&#12471;&#12519;&#12450;&#38283;&#30330;&#29992;\&#28168;&#21335;\100_&#31649;&#29702;\010_&#20849;&#36890;&#65332;&#38306;&#36899;\05.&#30740;&#20462;&#38306;&#36899;\2023&#24180;&#24230;\4.SMART&#30740;&#20462;_&#36939;&#29992;&#37096;(202304~202305)\BAT_ACP_&#25104;&#26524;&#29289;\&#26446;&#32865;&#32865;\MAET86S6\02.&#12486;&#12473;&#12488;&#20181;&#27096;&#26360;&#12539;&#12486;&#12473;&#12488;&#32080;&#26524;\ITa1&#20181;&#27096;&#26360;&#65288;&#20860;&#22577;&#21578;&#26360;&#65289;(MAET86S6)&#12304;&#65313;&#65315;&#65328;&#21516;&#19968;&#20154;&#35672;&#21029;&#30058;&#21495;&#20184;&#21152;&#20966;&#29702;&#12305;.xls?DB109478" TargetMode="External"/><Relationship Id="rId1" Type="http://schemas.openxmlformats.org/officeDocument/2006/relationships/externalLinkPath" Target="file:///\\DB109478\ITa1&#20181;&#27096;&#26360;&#65288;&#20860;&#22577;&#21578;&#26360;&#65289;(MAET86S6)&#12304;&#65313;&#65315;&#65328;&#21516;&#19968;&#20154;&#35672;&#21029;&#30058;&#21495;&#20184;&#21152;&#20966;&#29702;&#1230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表紙"/>
      <sheetName val="変更履歴"/>
      <sheetName val="1ページ目"/>
      <sheetName val="２ページ目"/>
      <sheetName val="23決算_OL_DS"/>
      <sheetName val="Data"/>
      <sheetName val="Hardware Info"/>
      <sheetName val="変更概要"/>
      <sheetName val="TDDACC1"/>
      <sheetName val="ZRDDAACA"/>
      <sheetName val="(1)業務フロー"/>
      <sheetName val="業内発注予定人員"/>
      <sheetName val="予定単価"/>
      <sheetName val="預金ｺﾝﾃﾅ型ﾃｰﾌﾞﾙ一覧"/>
      <sheetName val="CPU量分析"/>
      <sheetName val="作業詳細"/>
      <sheetName val="DDICT"/>
      <sheetName val="PR"/>
      <sheetName val="FUTURE"/>
      <sheetName val="System x"/>
      <sheetName val="参考(ServicePac)"/>
      <sheetName val="表紙（標準)"/>
      <sheetName val="支出(前半)"/>
      <sheetName val="Read Me!! (English)"/>
      <sheetName val="#REF"/>
      <sheetName val="2. Read Me!! (English)"/>
      <sheetName val="チェック編集部品定義書"/>
      <sheetName val="リスト一覧"/>
      <sheetName val="6 Resource Plan"/>
      <sheetName val="Lists"/>
      <sheetName val="テーブル"/>
      <sheetName val="3.3.1-2 Schedule per person"/>
      <sheetName val="max_socket_descriptors_計算表"/>
      <sheetName val="Financial analysis"/>
      <sheetName val="Work"/>
      <sheetName val="評価方法"/>
      <sheetName val="外部ﾃﾞｨｽｸ"/>
      <sheetName val="図表の見方"/>
      <sheetName val="基準値"/>
      <sheetName val="更新履歴"/>
      <sheetName val="（履歴）表紙"/>
      <sheetName val="23決算_OL_DS.xls"/>
    </sheetNames>
    <definedNames>
      <definedName name="Command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データ項目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変更要求"/>
      <sheetName val="表紙"/>
      <sheetName val="改訂履歴"/>
      <sheetName val="改訂内容"/>
      <sheetName val="目次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UKE2 係コード"/>
      <sheetName val="UKE2 係コード (2)"/>
      <sheetName val="加入者属性情報(5.3.19"/>
      <sheetName val="Cover"/>
      <sheetName val="改定履歴 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加入老名情報(2.3.1.3.2)"/>
      <sheetName val="加入者属性情報(10.5*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pfcaドライバ2.2.1インストール"/>
      <sheetName val="pfcaドライバ2.2.1コンフィグ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加入者ｽﾃｰﾀ_x0002__x0000__x0000__x0000_+_x0000_⽘_x0015__x0000__x0000_饦"/>
      <sheetName val="_x0000_:_x0013__x0000_0é0°_x0000__x0000__x0000__x0000_ ReQ_x0005_"/>
      <sheetName val="加入者属性盻録情報(2.3.1.1.2)"/>
      <sheetName val=":”_x0013__x0000_0é0°_x0000_ ReQ_x0005_"/>
      <sheetName val="1.3.6.4.ReturnMonthCmd"/>
      <sheetName val="1.3.6.4.main"/>
      <sheetName val="1.3.6.4._execute"/>
      <sheetName val="加入者ｽﾃｰﾀ_x0002_   + ⽘_x0015_  饦"/>
      <sheetName val=" :”_x0013_ 0é0°     ReQ_x0005_"/>
      <sheetName val="加入者ｽﾃｰﾀ_x0002_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リスト"/>
      <sheetName val="コールトラック"/>
      <sheetName val="ナレッジ"/>
      <sheetName val="新業務機能記述書"/>
      <sheetName val="CS060MPRCSP"/>
      <sheetName val="CS060MPRCPT"/>
      <sheetName val="CS060MPAIRG"/>
      <sheetName val="支払指図書データ（一時払）(5.2.1㸀ᰀ̀"/>
      <sheetName val="指図書データ（プラン単位）_x0008_10.2)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☆B010(A031)振込計算"/>
      <sheetName val="☆★☆ITEM→"/>
      <sheetName val="☆★☆ITEM→ (2)"/>
      <sheetName val="Ｘ　☆★☆計算→"/>
      <sheetName val="df一覧hs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設定"/>
      <sheetName val="加入者ｽﾃｰﾀ_x0002_???+?⽘_x0015_??饦"/>
      <sheetName val="?:_x0013_?0é0°???? ReQ_x0005_"/>
      <sheetName val=":”_x0013_?0é0°? ReQ_x0005_"/>
      <sheetName val="退職事由等(µ.2.3.2) (2)"/>
      <sheetName val="加入者ｽﾃｰﾀ_x0002__x0000__x0000__x0000_+_x0000___x0015__x0000__x0000__"/>
      <sheetName val=""/>
      <sheetName val=":”_x0013__x0000_0_0°_x0000_ ReQ_x0005_\"/>
      <sheetName val=":”_x0013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6-01"/>
      <sheetName val="016-02"/>
      <sheetName val="016-03"/>
      <sheetName val="016-04"/>
      <sheetName val="016-05"/>
      <sheetName val="016-06"/>
      <sheetName val="017-02"/>
      <sheetName val="017-03"/>
      <sheetName val="017-04"/>
      <sheetName val="017-05"/>
      <sheetName val="018-02"/>
      <sheetName val="018-03"/>
      <sheetName val="018-04"/>
      <sheetName val="019-02"/>
      <sheetName val="019-03"/>
      <sheetName val="019-04"/>
      <sheetName val="019-05"/>
      <sheetName val="019-06"/>
      <sheetName val="019-07"/>
      <sheetName val="019-08"/>
      <sheetName val="019-09"/>
      <sheetName val="020-02"/>
      <sheetName val="020-03"/>
      <sheetName val="020-04"/>
      <sheetName val="020-05"/>
      <sheetName val="020-06"/>
      <sheetName val="020-07"/>
      <sheetName val="入力補助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改訂履歴"/>
      <sheetName val="改訂内容"/>
      <sheetName val="目次"/>
      <sheetName val="前提"/>
      <sheetName val="ＩＴａ１一覧表"/>
      <sheetName val="ＩＴａ１詳細表（005）"/>
      <sheetName val="入力データ設計・出力結果予想"/>
      <sheetName val="ＩＴａ１チェックリスト（バッチ）"/>
      <sheetName val="ＩＴａ実施チェックリスト"/>
      <sheetName val="ＩＴａ１未実施テスト一覧"/>
      <sheetName val="裏表紙"/>
    </sheetNames>
    <sheetDataSet>
      <sheetData sheetId="0"/>
      <sheetData sheetId="1">
        <row r="1">
          <cell r="Y1">
            <v>45044</v>
          </cell>
        </row>
      </sheetData>
      <sheetData sheetId="2"/>
      <sheetData sheetId="3">
        <row r="4">
          <cell r="A4" t="str">
            <v>MAET86S6</v>
          </cell>
          <cell r="F4" t="str">
            <v>ＡＣＰ同一人識別番号付加処理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4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Relationship Id="rId4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9.bin"/><Relationship Id="rId2" Type="http://schemas.openxmlformats.org/officeDocument/2006/relationships/printerSettings" Target="../printerSettings/printerSettings28.bin"/><Relationship Id="rId1" Type="http://schemas.openxmlformats.org/officeDocument/2006/relationships/printerSettings" Target="../printerSettings/printerSettings27.bin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1:J23"/>
  <sheetViews>
    <sheetView showGridLines="0" view="pageBreakPreview" zoomScale="75" zoomScaleNormal="75" zoomScaleSheetLayoutView="75" workbookViewId="0"/>
  </sheetViews>
  <sheetFormatPr defaultRowHeight="13.5"/>
  <cols>
    <col min="1" max="16384" width="9" style="120"/>
  </cols>
  <sheetData>
    <row r="11" spans="7:7" ht="14.25">
      <c r="G11" s="10"/>
    </row>
    <row r="12" spans="7:7" ht="14.25">
      <c r="G12" s="10"/>
    </row>
    <row r="13" spans="7:7">
      <c r="G13" s="121"/>
    </row>
    <row r="15" spans="7:7" ht="24">
      <c r="G15" s="11" t="s">
        <v>87</v>
      </c>
    </row>
    <row r="16" spans="7:7">
      <c r="G16" s="121"/>
    </row>
    <row r="20" spans="1:10" ht="14.25">
      <c r="D20" s="25" t="s">
        <v>88</v>
      </c>
      <c r="E20" s="26"/>
      <c r="F20" s="122" t="s">
        <v>173</v>
      </c>
      <c r="G20" s="123"/>
      <c r="H20" s="123"/>
      <c r="I20" s="123"/>
      <c r="J20" s="124"/>
    </row>
    <row r="21" spans="1:10" ht="14.25">
      <c r="D21" s="25" t="s">
        <v>89</v>
      </c>
      <c r="E21" s="26"/>
      <c r="F21" s="309" t="s">
        <v>172</v>
      </c>
      <c r="G21" s="310"/>
      <c r="H21" s="310"/>
      <c r="I21" s="310"/>
      <c r="J21" s="311"/>
    </row>
    <row r="22" spans="1:10">
      <c r="A22" s="120" t="s">
        <v>2</v>
      </c>
      <c r="D22" s="23"/>
      <c r="E22" s="23"/>
      <c r="F22" s="23"/>
      <c r="G22" s="24"/>
      <c r="H22" s="23"/>
      <c r="I22" s="23"/>
      <c r="J22" s="23"/>
    </row>
    <row r="23" spans="1:10">
      <c r="D23" s="23"/>
      <c r="E23" s="23"/>
      <c r="F23" s="23"/>
      <c r="G23" s="23"/>
      <c r="H23" s="23"/>
      <c r="I23" s="23"/>
      <c r="J23" s="23"/>
    </row>
  </sheetData>
  <customSheetViews>
    <customSheetView guid="{A6ABB528-5CA4-4D4C-8A92-065340906B37}" scale="85" showPageBreaks="1" printArea="1" view="pageBreakPreview" showRuler="0">
      <pageMargins left="0.75" right="0.75" top="1" bottom="1" header="0.51200000000000001" footer="0.51200000000000001"/>
      <pageSetup paperSize="9" orientation="landscape" r:id="rId1"/>
      <headerFooter alignWithMargins="0">
        <oddFooter>&amp;R&amp;"ＭＳ ゴシック,標準"&amp;6&amp;F/&amp;A</oddFooter>
      </headerFooter>
    </customSheetView>
    <customSheetView guid="{8E288406-DA20-4489-A100-6BF008027C94}" scale="85" showPageBreaks="1" printArea="1" view="pageBreakPreview" showRuler="0">
      <pageMargins left="0.75" right="0.75" top="1" bottom="1" header="0.51200000000000001" footer="0.51200000000000001"/>
      <pageSetup paperSize="9" orientation="landscape" r:id="rId2"/>
      <headerFooter alignWithMargins="0">
        <oddFooter>&amp;R&amp;"ＭＳ ゴシック,標準"&amp;6&amp;F/&amp;A</oddFooter>
      </headerFooter>
    </customSheetView>
  </customSheetViews>
  <mergeCells count="1">
    <mergeCell ref="F21:J21"/>
  </mergeCells>
  <phoneticPr fontId="2"/>
  <pageMargins left="0.75" right="0.75" top="1" bottom="1" header="0.51200000000000001" footer="0.51200000000000001"/>
  <pageSetup paperSize="9" orientation="landscape" r:id="rId3"/>
  <headerFooter alignWithMargins="0">
    <oddFooter>&amp;R&amp;"ＭＳ ゴシック,標準"&amp;6&amp;F/&amp;A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1"/>
  <sheetViews>
    <sheetView showGridLines="0" view="pageBreakPreview" zoomScaleNormal="75" zoomScaleSheetLayoutView="100" workbookViewId="0">
      <selection activeCell="S2" sqref="S2:X2"/>
    </sheetView>
  </sheetViews>
  <sheetFormatPr defaultColWidth="2.625" defaultRowHeight="12"/>
  <cols>
    <col min="1" max="16384" width="2.625" style="135"/>
  </cols>
  <sheetData>
    <row r="1" spans="1:52" ht="14.25" customHeight="1">
      <c r="A1" s="144" t="s">
        <v>126</v>
      </c>
      <c r="B1" s="145"/>
      <c r="C1" s="450" t="s">
        <v>100</v>
      </c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  <c r="Q1" s="452" t="s">
        <v>123</v>
      </c>
      <c r="R1" s="453"/>
      <c r="S1" s="441" t="s">
        <v>59</v>
      </c>
      <c r="T1" s="439"/>
      <c r="U1" s="439"/>
      <c r="V1" s="439"/>
      <c r="W1" s="439"/>
      <c r="X1" s="442"/>
      <c r="Y1" s="443">
        <f>目次!Y1</f>
        <v>45044</v>
      </c>
      <c r="Z1" s="444"/>
      <c r="AA1" s="444"/>
      <c r="AB1" s="444"/>
      <c r="AC1" s="444"/>
      <c r="AD1" s="444"/>
      <c r="AE1" s="445"/>
      <c r="AF1" s="446" t="s">
        <v>60</v>
      </c>
      <c r="AG1" s="447"/>
      <c r="AH1" s="447"/>
      <c r="AI1" s="447"/>
      <c r="AJ1" s="447"/>
      <c r="AK1" s="448"/>
      <c r="AL1" s="449" t="str">
        <f>目次!AL1</f>
        <v>徐</v>
      </c>
      <c r="AM1" s="439"/>
      <c r="AN1" s="439"/>
      <c r="AO1" s="439"/>
      <c r="AP1" s="439"/>
      <c r="AQ1" s="439" t="str">
        <f>目次!AQ1</f>
        <v>JNW</v>
      </c>
      <c r="AR1" s="440"/>
      <c r="AS1" s="441" t="s">
        <v>61</v>
      </c>
      <c r="AT1" s="439"/>
      <c r="AU1" s="439"/>
      <c r="AV1" s="442"/>
      <c r="AW1" s="443">
        <f>目次!AW1</f>
        <v>45027</v>
      </c>
      <c r="AX1" s="444"/>
      <c r="AY1" s="444"/>
      <c r="AZ1" s="445"/>
    </row>
    <row r="2" spans="1:52" ht="14.25" customHeight="1">
      <c r="A2" s="146"/>
      <c r="B2" s="147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Q2" s="454">
        <f>目次!Q2</f>
        <v>1</v>
      </c>
      <c r="R2" s="455"/>
      <c r="S2" s="446" t="s">
        <v>62</v>
      </c>
      <c r="T2" s="447"/>
      <c r="U2" s="447"/>
      <c r="V2" s="447"/>
      <c r="W2" s="447"/>
      <c r="X2" s="448"/>
      <c r="Y2" s="449" t="str">
        <f>目次!Y2</f>
        <v>福島　副部長</v>
      </c>
      <c r="Z2" s="439"/>
      <c r="AA2" s="439"/>
      <c r="AB2" s="439"/>
      <c r="AC2" s="439"/>
      <c r="AD2" s="439" t="str">
        <f>目次!AD2</f>
        <v>DIR</v>
      </c>
      <c r="AE2" s="440"/>
      <c r="AF2" s="446" t="s">
        <v>63</v>
      </c>
      <c r="AG2" s="447"/>
      <c r="AH2" s="447"/>
      <c r="AI2" s="447"/>
      <c r="AJ2" s="447"/>
      <c r="AK2" s="448"/>
      <c r="AL2" s="449" t="str">
        <f>目次!AL2</f>
        <v>徐</v>
      </c>
      <c r="AM2" s="439"/>
      <c r="AN2" s="439"/>
      <c r="AO2" s="439"/>
      <c r="AP2" s="439"/>
      <c r="AQ2" s="439" t="str">
        <f>目次!AQ2</f>
        <v>JNW</v>
      </c>
      <c r="AR2" s="440"/>
      <c r="AS2" s="441" t="s">
        <v>64</v>
      </c>
      <c r="AT2" s="439"/>
      <c r="AU2" s="439"/>
      <c r="AV2" s="442"/>
      <c r="AW2" s="443">
        <f>目次!AW2</f>
        <v>45027</v>
      </c>
      <c r="AX2" s="444"/>
      <c r="AY2" s="444"/>
      <c r="AZ2" s="445"/>
    </row>
    <row r="3" spans="1:52" ht="14.25" customHeight="1">
      <c r="A3" s="200"/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</row>
    <row r="4" spans="1:52" ht="29.25" customHeight="1">
      <c r="A4" s="136" t="s">
        <v>65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</row>
    <row r="5" spans="1:52" ht="12" customHeight="1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</row>
    <row r="6" spans="1:52" ht="12" customHeight="1">
      <c r="A6" s="401" t="s">
        <v>66</v>
      </c>
      <c r="B6" s="402"/>
      <c r="C6" s="379" t="s">
        <v>67</v>
      </c>
      <c r="D6" s="380"/>
      <c r="E6" s="380"/>
      <c r="F6" s="380"/>
      <c r="G6" s="380"/>
      <c r="H6" s="380"/>
      <c r="I6" s="380"/>
      <c r="J6" s="380"/>
      <c r="K6" s="380"/>
      <c r="L6" s="380"/>
      <c r="M6" s="380"/>
      <c r="N6" s="380"/>
      <c r="O6" s="333"/>
      <c r="P6" s="379" t="s">
        <v>68</v>
      </c>
      <c r="Q6" s="380"/>
      <c r="R6" s="380"/>
      <c r="S6" s="380"/>
      <c r="T6" s="380"/>
      <c r="U6" s="380"/>
      <c r="V6" s="380"/>
      <c r="W6" s="380"/>
      <c r="X6" s="380"/>
      <c r="Y6" s="380"/>
      <c r="Z6" s="380"/>
      <c r="AA6" s="380"/>
      <c r="AB6" s="380"/>
      <c r="AC6" s="333"/>
      <c r="AD6" s="379" t="s">
        <v>69</v>
      </c>
      <c r="AE6" s="380"/>
      <c r="AF6" s="380"/>
      <c r="AG6" s="380"/>
      <c r="AH6" s="333"/>
      <c r="AI6" s="379" t="s">
        <v>70</v>
      </c>
      <c r="AJ6" s="380"/>
      <c r="AK6" s="380"/>
      <c r="AL6" s="380"/>
      <c r="AM6" s="333"/>
      <c r="AN6" s="379" t="s">
        <v>71</v>
      </c>
      <c r="AO6" s="380"/>
      <c r="AP6" s="380"/>
      <c r="AQ6" s="380"/>
      <c r="AR6" s="380"/>
      <c r="AS6" s="380"/>
      <c r="AT6" s="380"/>
      <c r="AU6" s="380"/>
      <c r="AV6" s="380"/>
      <c r="AW6" s="380"/>
      <c r="AX6" s="380"/>
      <c r="AY6" s="380"/>
      <c r="AZ6" s="333"/>
    </row>
    <row r="7" spans="1:52" ht="12" customHeight="1">
      <c r="A7" s="403"/>
      <c r="B7" s="404"/>
      <c r="C7" s="334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35"/>
      <c r="P7" s="334"/>
      <c r="Q7" s="381"/>
      <c r="R7" s="381"/>
      <c r="S7" s="381"/>
      <c r="T7" s="381"/>
      <c r="U7" s="381"/>
      <c r="V7" s="381"/>
      <c r="W7" s="381"/>
      <c r="X7" s="381"/>
      <c r="Y7" s="381"/>
      <c r="Z7" s="381"/>
      <c r="AA7" s="381"/>
      <c r="AB7" s="381"/>
      <c r="AC7" s="335"/>
      <c r="AD7" s="334"/>
      <c r="AE7" s="381"/>
      <c r="AF7" s="381"/>
      <c r="AG7" s="381"/>
      <c r="AH7" s="335"/>
      <c r="AI7" s="334"/>
      <c r="AJ7" s="381"/>
      <c r="AK7" s="381"/>
      <c r="AL7" s="381"/>
      <c r="AM7" s="335"/>
      <c r="AN7" s="334"/>
      <c r="AO7" s="381"/>
      <c r="AP7" s="381"/>
      <c r="AQ7" s="381"/>
      <c r="AR7" s="381"/>
      <c r="AS7" s="381"/>
      <c r="AT7" s="381"/>
      <c r="AU7" s="381"/>
      <c r="AV7" s="381"/>
      <c r="AW7" s="381"/>
      <c r="AX7" s="381"/>
      <c r="AY7" s="381"/>
      <c r="AZ7" s="335"/>
    </row>
    <row r="8" spans="1:52" ht="12" customHeight="1">
      <c r="A8" s="405"/>
      <c r="B8" s="406"/>
      <c r="C8" s="336"/>
      <c r="D8" s="382"/>
      <c r="E8" s="382"/>
      <c r="F8" s="382"/>
      <c r="G8" s="382"/>
      <c r="H8" s="382"/>
      <c r="I8" s="382"/>
      <c r="J8" s="382"/>
      <c r="K8" s="382"/>
      <c r="L8" s="382"/>
      <c r="M8" s="382"/>
      <c r="N8" s="382"/>
      <c r="O8" s="337"/>
      <c r="P8" s="336"/>
      <c r="Q8" s="382"/>
      <c r="R8" s="382"/>
      <c r="S8" s="382"/>
      <c r="T8" s="382"/>
      <c r="U8" s="382"/>
      <c r="V8" s="382"/>
      <c r="W8" s="382"/>
      <c r="X8" s="382"/>
      <c r="Y8" s="382"/>
      <c r="Z8" s="382"/>
      <c r="AA8" s="382"/>
      <c r="AB8" s="382"/>
      <c r="AC8" s="337"/>
      <c r="AD8" s="336"/>
      <c r="AE8" s="382"/>
      <c r="AF8" s="382"/>
      <c r="AG8" s="382"/>
      <c r="AH8" s="337"/>
      <c r="AI8" s="336"/>
      <c r="AJ8" s="382"/>
      <c r="AK8" s="382"/>
      <c r="AL8" s="382"/>
      <c r="AM8" s="337"/>
      <c r="AN8" s="336"/>
      <c r="AO8" s="382"/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37"/>
    </row>
    <row r="9" spans="1:52" ht="12" customHeight="1">
      <c r="A9" s="332" t="s">
        <v>72</v>
      </c>
      <c r="B9" s="371"/>
      <c r="C9" s="129" t="s">
        <v>177</v>
      </c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1"/>
      <c r="P9" s="312" t="s">
        <v>132</v>
      </c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90"/>
      <c r="AD9" s="407">
        <v>45027</v>
      </c>
      <c r="AE9" s="408"/>
      <c r="AF9" s="408"/>
      <c r="AG9" s="408"/>
      <c r="AH9" s="409"/>
      <c r="AI9" s="327" t="s">
        <v>127</v>
      </c>
      <c r="AJ9" s="331"/>
      <c r="AK9" s="132"/>
      <c r="AL9" s="132"/>
      <c r="AM9" s="133"/>
      <c r="AN9" s="312"/>
      <c r="AO9" s="389"/>
      <c r="AP9" s="389"/>
      <c r="AQ9" s="389"/>
      <c r="AR9" s="389"/>
      <c r="AS9" s="389"/>
      <c r="AT9" s="389"/>
      <c r="AU9" s="389"/>
      <c r="AV9" s="389"/>
      <c r="AW9" s="389"/>
      <c r="AX9" s="389"/>
      <c r="AY9" s="389"/>
      <c r="AZ9" s="390"/>
    </row>
    <row r="10" spans="1:52" ht="12" customHeight="1">
      <c r="A10" s="372"/>
      <c r="B10" s="373"/>
      <c r="C10" s="416" t="s">
        <v>176</v>
      </c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417"/>
      <c r="O10" s="418"/>
      <c r="P10" s="391"/>
      <c r="Q10" s="392"/>
      <c r="R10" s="392"/>
      <c r="S10" s="392"/>
      <c r="T10" s="392"/>
      <c r="U10" s="392"/>
      <c r="V10" s="392"/>
      <c r="W10" s="392"/>
      <c r="X10" s="392"/>
      <c r="Y10" s="392"/>
      <c r="Z10" s="392"/>
      <c r="AA10" s="392"/>
      <c r="AB10" s="392"/>
      <c r="AC10" s="393"/>
      <c r="AD10" s="410"/>
      <c r="AE10" s="411"/>
      <c r="AF10" s="411"/>
      <c r="AG10" s="411"/>
      <c r="AH10" s="412"/>
      <c r="AI10" s="321" t="s">
        <v>174</v>
      </c>
      <c r="AJ10" s="352"/>
      <c r="AK10" s="352"/>
      <c r="AL10" s="352"/>
      <c r="AM10" s="353"/>
      <c r="AN10" s="391"/>
      <c r="AO10" s="392"/>
      <c r="AP10" s="392"/>
      <c r="AQ10" s="392"/>
      <c r="AR10" s="392"/>
      <c r="AS10" s="392"/>
      <c r="AT10" s="392"/>
      <c r="AU10" s="392"/>
      <c r="AV10" s="392"/>
      <c r="AW10" s="392"/>
      <c r="AX10" s="392"/>
      <c r="AY10" s="392"/>
      <c r="AZ10" s="393"/>
    </row>
    <row r="11" spans="1:52">
      <c r="A11" s="374"/>
      <c r="B11" s="375"/>
      <c r="C11" s="419"/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1"/>
      <c r="P11" s="394"/>
      <c r="Q11" s="395"/>
      <c r="R11" s="395"/>
      <c r="S11" s="395"/>
      <c r="T11" s="395"/>
      <c r="U11" s="395"/>
      <c r="V11" s="395"/>
      <c r="W11" s="395"/>
      <c r="X11" s="395"/>
      <c r="Y11" s="395"/>
      <c r="Z11" s="395"/>
      <c r="AA11" s="395"/>
      <c r="AB11" s="395"/>
      <c r="AC11" s="396"/>
      <c r="AD11" s="413"/>
      <c r="AE11" s="414"/>
      <c r="AF11" s="414"/>
      <c r="AG11" s="414"/>
      <c r="AH11" s="415"/>
      <c r="AI11" s="354"/>
      <c r="AJ11" s="355"/>
      <c r="AK11" s="355"/>
      <c r="AL11" s="355"/>
      <c r="AM11" s="356"/>
      <c r="AN11" s="394"/>
      <c r="AO11" s="395"/>
      <c r="AP11" s="395"/>
      <c r="AQ11" s="395"/>
      <c r="AR11" s="395"/>
      <c r="AS11" s="395"/>
      <c r="AT11" s="395"/>
      <c r="AU11" s="395"/>
      <c r="AV11" s="395"/>
      <c r="AW11" s="395"/>
      <c r="AX11" s="395"/>
      <c r="AY11" s="395"/>
      <c r="AZ11" s="396"/>
    </row>
    <row r="12" spans="1:52" ht="12" customHeight="1">
      <c r="A12" s="422"/>
      <c r="B12" s="399"/>
      <c r="C12" s="129"/>
      <c r="D12" s="203"/>
      <c r="E12" s="203"/>
      <c r="F12" s="203"/>
      <c r="G12" s="203"/>
      <c r="H12" s="203"/>
      <c r="I12" s="203"/>
      <c r="J12" s="130"/>
      <c r="K12" s="203"/>
      <c r="L12" s="203"/>
      <c r="M12" s="203"/>
      <c r="N12" s="203"/>
      <c r="O12" s="204"/>
      <c r="P12" s="428"/>
      <c r="Q12" s="429"/>
      <c r="R12" s="429"/>
      <c r="S12" s="429"/>
      <c r="T12" s="429"/>
      <c r="U12" s="429"/>
      <c r="V12" s="429"/>
      <c r="W12" s="429"/>
      <c r="X12" s="429"/>
      <c r="Y12" s="429"/>
      <c r="Z12" s="429"/>
      <c r="AA12" s="429"/>
      <c r="AB12" s="429"/>
      <c r="AC12" s="430"/>
      <c r="AD12" s="397"/>
      <c r="AE12" s="398"/>
      <c r="AF12" s="398"/>
      <c r="AG12" s="398"/>
      <c r="AH12" s="399"/>
      <c r="AI12" s="437"/>
      <c r="AJ12" s="438"/>
      <c r="AK12" s="205"/>
      <c r="AL12" s="205"/>
      <c r="AM12" s="206"/>
      <c r="AN12" s="312"/>
      <c r="AO12" s="313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4"/>
    </row>
    <row r="13" spans="1:52" ht="12" customHeight="1">
      <c r="A13" s="400"/>
      <c r="B13" s="385"/>
      <c r="C13" s="416"/>
      <c r="D13" s="423"/>
      <c r="E13" s="423"/>
      <c r="F13" s="423"/>
      <c r="G13" s="423"/>
      <c r="H13" s="423"/>
      <c r="I13" s="423"/>
      <c r="J13" s="423"/>
      <c r="K13" s="423"/>
      <c r="L13" s="423"/>
      <c r="M13" s="423"/>
      <c r="N13" s="423"/>
      <c r="O13" s="424"/>
      <c r="P13" s="431"/>
      <c r="Q13" s="432"/>
      <c r="R13" s="432"/>
      <c r="S13" s="432"/>
      <c r="T13" s="432"/>
      <c r="U13" s="432"/>
      <c r="V13" s="432"/>
      <c r="W13" s="432"/>
      <c r="X13" s="432"/>
      <c r="Y13" s="432"/>
      <c r="Z13" s="432"/>
      <c r="AA13" s="432"/>
      <c r="AB13" s="432"/>
      <c r="AC13" s="433"/>
      <c r="AD13" s="400"/>
      <c r="AE13" s="384"/>
      <c r="AF13" s="384"/>
      <c r="AG13" s="384"/>
      <c r="AH13" s="385"/>
      <c r="AI13" s="383"/>
      <c r="AJ13" s="384"/>
      <c r="AK13" s="384"/>
      <c r="AL13" s="384"/>
      <c r="AM13" s="385"/>
      <c r="AN13" s="315"/>
      <c r="AO13" s="316"/>
      <c r="AP13" s="316"/>
      <c r="AQ13" s="316"/>
      <c r="AR13" s="316"/>
      <c r="AS13" s="316"/>
      <c r="AT13" s="316"/>
      <c r="AU13" s="316"/>
      <c r="AV13" s="316"/>
      <c r="AW13" s="316"/>
      <c r="AX13" s="316"/>
      <c r="AY13" s="316"/>
      <c r="AZ13" s="317"/>
    </row>
    <row r="14" spans="1:52" ht="12" customHeight="1">
      <c r="A14" s="386"/>
      <c r="B14" s="388"/>
      <c r="C14" s="425"/>
      <c r="D14" s="426"/>
      <c r="E14" s="426"/>
      <c r="F14" s="426"/>
      <c r="G14" s="426"/>
      <c r="H14" s="426"/>
      <c r="I14" s="426"/>
      <c r="J14" s="426"/>
      <c r="K14" s="426"/>
      <c r="L14" s="426"/>
      <c r="M14" s="426"/>
      <c r="N14" s="426"/>
      <c r="O14" s="427"/>
      <c r="P14" s="434"/>
      <c r="Q14" s="435"/>
      <c r="R14" s="435"/>
      <c r="S14" s="435"/>
      <c r="T14" s="435"/>
      <c r="U14" s="435"/>
      <c r="V14" s="435"/>
      <c r="W14" s="435"/>
      <c r="X14" s="435"/>
      <c r="Y14" s="435"/>
      <c r="Z14" s="435"/>
      <c r="AA14" s="435"/>
      <c r="AB14" s="435"/>
      <c r="AC14" s="436"/>
      <c r="AD14" s="386"/>
      <c r="AE14" s="387"/>
      <c r="AF14" s="387"/>
      <c r="AG14" s="387"/>
      <c r="AH14" s="388"/>
      <c r="AI14" s="386"/>
      <c r="AJ14" s="387"/>
      <c r="AK14" s="387"/>
      <c r="AL14" s="387"/>
      <c r="AM14" s="388"/>
      <c r="AN14" s="318"/>
      <c r="AO14" s="319"/>
      <c r="AP14" s="319"/>
      <c r="AQ14" s="319"/>
      <c r="AR14" s="319"/>
      <c r="AS14" s="319"/>
      <c r="AT14" s="319"/>
      <c r="AU14" s="319"/>
      <c r="AV14" s="319"/>
      <c r="AW14" s="319"/>
      <c r="AX14" s="319"/>
      <c r="AY14" s="319"/>
      <c r="AZ14" s="320"/>
    </row>
    <row r="15" spans="1:52" ht="12" customHeight="1">
      <c r="A15" s="332"/>
      <c r="B15" s="333"/>
      <c r="C15" s="140"/>
      <c r="D15" s="141"/>
      <c r="E15" s="141"/>
      <c r="F15" s="141"/>
      <c r="G15" s="141"/>
      <c r="H15" s="141"/>
      <c r="I15" s="141"/>
      <c r="J15" s="142"/>
      <c r="K15" s="141"/>
      <c r="L15" s="141"/>
      <c r="M15" s="141"/>
      <c r="N15" s="141"/>
      <c r="O15" s="143"/>
      <c r="P15" s="338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4"/>
      <c r="AD15" s="327"/>
      <c r="AE15" s="331"/>
      <c r="AF15" s="331"/>
      <c r="AG15" s="331"/>
      <c r="AH15" s="345"/>
      <c r="AI15" s="327"/>
      <c r="AJ15" s="331"/>
      <c r="AK15" s="132"/>
      <c r="AL15" s="132"/>
      <c r="AM15" s="133"/>
      <c r="AN15" s="312"/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4"/>
    </row>
    <row r="16" spans="1:52" ht="12" customHeight="1">
      <c r="A16" s="334"/>
      <c r="B16" s="335"/>
      <c r="C16" s="339"/>
      <c r="D16" s="366"/>
      <c r="E16" s="366"/>
      <c r="F16" s="366"/>
      <c r="G16" s="366"/>
      <c r="H16" s="366"/>
      <c r="I16" s="366"/>
      <c r="J16" s="366"/>
      <c r="K16" s="366"/>
      <c r="L16" s="366"/>
      <c r="M16" s="366"/>
      <c r="N16" s="366"/>
      <c r="O16" s="367"/>
      <c r="P16" s="315"/>
      <c r="Q16" s="376"/>
      <c r="R16" s="376"/>
      <c r="S16" s="376"/>
      <c r="T16" s="376"/>
      <c r="U16" s="376"/>
      <c r="V16" s="376"/>
      <c r="W16" s="376"/>
      <c r="X16" s="376"/>
      <c r="Y16" s="376"/>
      <c r="Z16" s="376"/>
      <c r="AA16" s="376"/>
      <c r="AB16" s="376"/>
      <c r="AC16" s="317"/>
      <c r="AD16" s="346"/>
      <c r="AE16" s="347"/>
      <c r="AF16" s="347"/>
      <c r="AG16" s="347"/>
      <c r="AH16" s="348"/>
      <c r="AI16" s="321"/>
      <c r="AJ16" s="352"/>
      <c r="AK16" s="352"/>
      <c r="AL16" s="352"/>
      <c r="AM16" s="353"/>
      <c r="AN16" s="315"/>
      <c r="AO16" s="316"/>
      <c r="AP16" s="316"/>
      <c r="AQ16" s="316"/>
      <c r="AR16" s="316"/>
      <c r="AS16" s="316"/>
      <c r="AT16" s="316"/>
      <c r="AU16" s="316"/>
      <c r="AV16" s="316"/>
      <c r="AW16" s="316"/>
      <c r="AX16" s="316"/>
      <c r="AY16" s="316"/>
      <c r="AZ16" s="317"/>
    </row>
    <row r="17" spans="1:52" ht="12" customHeight="1">
      <c r="A17" s="336"/>
      <c r="B17" s="337"/>
      <c r="C17" s="368"/>
      <c r="D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70"/>
      <c r="P17" s="318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20"/>
      <c r="AD17" s="349"/>
      <c r="AE17" s="350"/>
      <c r="AF17" s="350"/>
      <c r="AG17" s="350"/>
      <c r="AH17" s="351"/>
      <c r="AI17" s="354"/>
      <c r="AJ17" s="355"/>
      <c r="AK17" s="355"/>
      <c r="AL17" s="355"/>
      <c r="AM17" s="356"/>
      <c r="AN17" s="318"/>
      <c r="AO17" s="319"/>
      <c r="AP17" s="319"/>
      <c r="AQ17" s="319"/>
      <c r="AR17" s="319"/>
      <c r="AS17" s="319"/>
      <c r="AT17" s="319"/>
      <c r="AU17" s="319"/>
      <c r="AV17" s="319"/>
      <c r="AW17" s="319"/>
      <c r="AX17" s="319"/>
      <c r="AY17" s="319"/>
      <c r="AZ17" s="320"/>
    </row>
    <row r="18" spans="1:52" ht="12" customHeight="1">
      <c r="A18" s="332"/>
      <c r="B18" s="371"/>
      <c r="C18" s="140"/>
      <c r="D18" s="141"/>
      <c r="E18" s="141"/>
      <c r="F18" s="141"/>
      <c r="G18" s="141"/>
      <c r="H18" s="141"/>
      <c r="I18" s="141"/>
      <c r="J18" s="142"/>
      <c r="K18" s="141"/>
      <c r="L18" s="141"/>
      <c r="M18" s="141"/>
      <c r="N18" s="141"/>
      <c r="O18" s="143"/>
      <c r="P18" s="338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4"/>
      <c r="AD18" s="357"/>
      <c r="AE18" s="358"/>
      <c r="AF18" s="358"/>
      <c r="AG18" s="358"/>
      <c r="AH18" s="359"/>
      <c r="AI18" s="327"/>
      <c r="AJ18" s="331"/>
      <c r="AK18" s="132"/>
      <c r="AL18" s="132"/>
      <c r="AM18" s="133"/>
      <c r="AN18" s="312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4"/>
    </row>
    <row r="19" spans="1:52" ht="12" customHeight="1">
      <c r="A19" s="372"/>
      <c r="B19" s="373"/>
      <c r="C19" s="339"/>
      <c r="D19" s="366"/>
      <c r="E19" s="366"/>
      <c r="F19" s="366"/>
      <c r="G19" s="366"/>
      <c r="H19" s="366"/>
      <c r="I19" s="366"/>
      <c r="J19" s="366"/>
      <c r="K19" s="366"/>
      <c r="L19" s="366"/>
      <c r="M19" s="366"/>
      <c r="N19" s="366"/>
      <c r="O19" s="367"/>
      <c r="P19" s="315"/>
      <c r="Q19" s="376"/>
      <c r="R19" s="376"/>
      <c r="S19" s="376"/>
      <c r="T19" s="376"/>
      <c r="U19" s="376"/>
      <c r="V19" s="376"/>
      <c r="W19" s="376"/>
      <c r="X19" s="376"/>
      <c r="Y19" s="376"/>
      <c r="Z19" s="376"/>
      <c r="AA19" s="376"/>
      <c r="AB19" s="376"/>
      <c r="AC19" s="317"/>
      <c r="AD19" s="360"/>
      <c r="AE19" s="361"/>
      <c r="AF19" s="361"/>
      <c r="AG19" s="361"/>
      <c r="AH19" s="362"/>
      <c r="AI19" s="321"/>
      <c r="AJ19" s="352"/>
      <c r="AK19" s="352"/>
      <c r="AL19" s="352"/>
      <c r="AM19" s="353"/>
      <c r="AN19" s="315"/>
      <c r="AO19" s="316"/>
      <c r="AP19" s="316"/>
      <c r="AQ19" s="316"/>
      <c r="AR19" s="316"/>
      <c r="AS19" s="316"/>
      <c r="AT19" s="316"/>
      <c r="AU19" s="316"/>
      <c r="AV19" s="316"/>
      <c r="AW19" s="316"/>
      <c r="AX19" s="316"/>
      <c r="AY19" s="316"/>
      <c r="AZ19" s="317"/>
    </row>
    <row r="20" spans="1:52" ht="12" customHeight="1">
      <c r="A20" s="374"/>
      <c r="B20" s="375"/>
      <c r="C20" s="368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70"/>
      <c r="P20" s="318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319"/>
      <c r="AB20" s="319"/>
      <c r="AC20" s="320"/>
      <c r="AD20" s="363"/>
      <c r="AE20" s="364"/>
      <c r="AF20" s="364"/>
      <c r="AG20" s="364"/>
      <c r="AH20" s="365"/>
      <c r="AI20" s="354"/>
      <c r="AJ20" s="355"/>
      <c r="AK20" s="355"/>
      <c r="AL20" s="355"/>
      <c r="AM20" s="356"/>
      <c r="AN20" s="318"/>
      <c r="AO20" s="319"/>
      <c r="AP20" s="319"/>
      <c r="AQ20" s="319"/>
      <c r="AR20" s="319"/>
      <c r="AS20" s="319"/>
      <c r="AT20" s="319"/>
      <c r="AU20" s="319"/>
      <c r="AV20" s="319"/>
      <c r="AW20" s="319"/>
      <c r="AX20" s="319"/>
      <c r="AY20" s="319"/>
      <c r="AZ20" s="320"/>
    </row>
    <row r="21" spans="1:52" ht="12" customHeight="1">
      <c r="A21" s="332"/>
      <c r="B21" s="371"/>
      <c r="C21" s="140"/>
      <c r="D21" s="141"/>
      <c r="E21" s="141"/>
      <c r="F21" s="141"/>
      <c r="G21" s="141"/>
      <c r="H21" s="141"/>
      <c r="I21" s="141"/>
      <c r="J21" s="142"/>
      <c r="K21" s="141"/>
      <c r="L21" s="141"/>
      <c r="M21" s="141"/>
      <c r="N21" s="141"/>
      <c r="O21" s="143"/>
      <c r="P21" s="338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313"/>
      <c r="AB21" s="313"/>
      <c r="AC21" s="314"/>
      <c r="AD21" s="357"/>
      <c r="AE21" s="358"/>
      <c r="AF21" s="358"/>
      <c r="AG21" s="358"/>
      <c r="AH21" s="359"/>
      <c r="AI21" s="327"/>
      <c r="AJ21" s="331"/>
      <c r="AK21" s="132"/>
      <c r="AL21" s="132"/>
      <c r="AM21" s="133"/>
      <c r="AN21" s="312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4"/>
    </row>
    <row r="22" spans="1:52" ht="12" customHeight="1">
      <c r="A22" s="372"/>
      <c r="B22" s="373"/>
      <c r="C22" s="339"/>
      <c r="D22" s="366"/>
      <c r="E22" s="366"/>
      <c r="F22" s="366"/>
      <c r="G22" s="366"/>
      <c r="H22" s="366"/>
      <c r="I22" s="366"/>
      <c r="J22" s="366"/>
      <c r="K22" s="366"/>
      <c r="L22" s="366"/>
      <c r="M22" s="366"/>
      <c r="N22" s="366"/>
      <c r="O22" s="367"/>
      <c r="P22" s="315"/>
      <c r="Q22" s="376"/>
      <c r="R22" s="376"/>
      <c r="S22" s="376"/>
      <c r="T22" s="376"/>
      <c r="U22" s="376"/>
      <c r="V22" s="376"/>
      <c r="W22" s="376"/>
      <c r="X22" s="376"/>
      <c r="Y22" s="376"/>
      <c r="Z22" s="376"/>
      <c r="AA22" s="376"/>
      <c r="AB22" s="376"/>
      <c r="AC22" s="317"/>
      <c r="AD22" s="360"/>
      <c r="AE22" s="361"/>
      <c r="AF22" s="361"/>
      <c r="AG22" s="361"/>
      <c r="AH22" s="362"/>
      <c r="AI22" s="321"/>
      <c r="AJ22" s="352"/>
      <c r="AK22" s="352"/>
      <c r="AL22" s="352"/>
      <c r="AM22" s="353"/>
      <c r="AN22" s="315"/>
      <c r="AO22" s="316"/>
      <c r="AP22" s="316"/>
      <c r="AQ22" s="316"/>
      <c r="AR22" s="316"/>
      <c r="AS22" s="316"/>
      <c r="AT22" s="316"/>
      <c r="AU22" s="316"/>
      <c r="AV22" s="316"/>
      <c r="AW22" s="316"/>
      <c r="AX22" s="316"/>
      <c r="AY22" s="316"/>
      <c r="AZ22" s="317"/>
    </row>
    <row r="23" spans="1:52" ht="12" customHeight="1">
      <c r="A23" s="374"/>
      <c r="B23" s="375"/>
      <c r="C23" s="368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70"/>
      <c r="P23" s="318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20"/>
      <c r="AD23" s="363"/>
      <c r="AE23" s="364"/>
      <c r="AF23" s="364"/>
      <c r="AG23" s="364"/>
      <c r="AH23" s="365"/>
      <c r="AI23" s="354"/>
      <c r="AJ23" s="355"/>
      <c r="AK23" s="355"/>
      <c r="AL23" s="355"/>
      <c r="AM23" s="356"/>
      <c r="AN23" s="318"/>
      <c r="AO23" s="319"/>
      <c r="AP23" s="319"/>
      <c r="AQ23" s="319"/>
      <c r="AR23" s="319"/>
      <c r="AS23" s="319"/>
      <c r="AT23" s="319"/>
      <c r="AU23" s="319"/>
      <c r="AV23" s="319"/>
      <c r="AW23" s="319"/>
      <c r="AX23" s="319"/>
      <c r="AY23" s="319"/>
      <c r="AZ23" s="320"/>
    </row>
    <row r="24" spans="1:52" ht="12" customHeight="1">
      <c r="A24" s="332"/>
      <c r="B24" s="333"/>
      <c r="C24" s="140"/>
      <c r="D24" s="141"/>
      <c r="E24" s="141"/>
      <c r="F24" s="141"/>
      <c r="G24" s="141"/>
      <c r="H24" s="141"/>
      <c r="I24" s="141"/>
      <c r="J24" s="142"/>
      <c r="K24" s="141"/>
      <c r="L24" s="141"/>
      <c r="M24" s="141"/>
      <c r="N24" s="141"/>
      <c r="O24" s="143"/>
      <c r="P24" s="338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4"/>
      <c r="AD24" s="327"/>
      <c r="AE24" s="328"/>
      <c r="AF24" s="328"/>
      <c r="AG24" s="328"/>
      <c r="AH24" s="329"/>
      <c r="AI24" s="377"/>
      <c r="AJ24" s="378"/>
      <c r="AK24" s="132"/>
      <c r="AL24" s="132"/>
      <c r="AM24" s="133"/>
      <c r="AN24" s="312"/>
      <c r="AO24" s="313"/>
      <c r="AP24" s="313"/>
      <c r="AQ24" s="313"/>
      <c r="AR24" s="313"/>
      <c r="AS24" s="313"/>
      <c r="AT24" s="313"/>
      <c r="AU24" s="313"/>
      <c r="AV24" s="313"/>
      <c r="AW24" s="313"/>
      <c r="AX24" s="313"/>
      <c r="AY24" s="313"/>
      <c r="AZ24" s="314"/>
    </row>
    <row r="25" spans="1:52" ht="12" customHeight="1">
      <c r="A25" s="334"/>
      <c r="B25" s="335"/>
      <c r="C25" s="339"/>
      <c r="D25" s="340"/>
      <c r="E25" s="340"/>
      <c r="F25" s="340"/>
      <c r="G25" s="340"/>
      <c r="H25" s="340"/>
      <c r="I25" s="340"/>
      <c r="J25" s="340"/>
      <c r="K25" s="340"/>
      <c r="L25" s="340"/>
      <c r="M25" s="340"/>
      <c r="N25" s="340"/>
      <c r="O25" s="341"/>
      <c r="P25" s="315"/>
      <c r="Q25" s="376"/>
      <c r="R25" s="376"/>
      <c r="S25" s="376"/>
      <c r="T25" s="376"/>
      <c r="U25" s="376"/>
      <c r="V25" s="376"/>
      <c r="W25" s="376"/>
      <c r="X25" s="376"/>
      <c r="Y25" s="376"/>
      <c r="Z25" s="376"/>
      <c r="AA25" s="376"/>
      <c r="AB25" s="376"/>
      <c r="AC25" s="317"/>
      <c r="AD25" s="330"/>
      <c r="AE25" s="322"/>
      <c r="AF25" s="322"/>
      <c r="AG25" s="322"/>
      <c r="AH25" s="323"/>
      <c r="AI25" s="321"/>
      <c r="AJ25" s="322"/>
      <c r="AK25" s="322"/>
      <c r="AL25" s="322"/>
      <c r="AM25" s="323"/>
      <c r="AN25" s="315"/>
      <c r="AO25" s="316"/>
      <c r="AP25" s="316"/>
      <c r="AQ25" s="316"/>
      <c r="AR25" s="316"/>
      <c r="AS25" s="316"/>
      <c r="AT25" s="316"/>
      <c r="AU25" s="316"/>
      <c r="AV25" s="316"/>
      <c r="AW25" s="316"/>
      <c r="AX25" s="316"/>
      <c r="AY25" s="316"/>
      <c r="AZ25" s="317"/>
    </row>
    <row r="26" spans="1:52" ht="12" customHeight="1">
      <c r="A26" s="334"/>
      <c r="B26" s="335"/>
      <c r="C26" s="342"/>
      <c r="D26" s="343"/>
      <c r="E26" s="343"/>
      <c r="F26" s="343"/>
      <c r="G26" s="343"/>
      <c r="H26" s="343"/>
      <c r="I26" s="343"/>
      <c r="J26" s="343"/>
      <c r="K26" s="343"/>
      <c r="L26" s="343"/>
      <c r="M26" s="343"/>
      <c r="N26" s="343"/>
      <c r="O26" s="344"/>
      <c r="P26" s="318"/>
      <c r="Q26" s="319"/>
      <c r="R26" s="319"/>
      <c r="S26" s="319"/>
      <c r="T26" s="319"/>
      <c r="U26" s="319"/>
      <c r="V26" s="319"/>
      <c r="W26" s="319"/>
      <c r="X26" s="319"/>
      <c r="Y26" s="319"/>
      <c r="Z26" s="319"/>
      <c r="AA26" s="319"/>
      <c r="AB26" s="319"/>
      <c r="AC26" s="320"/>
      <c r="AD26" s="324"/>
      <c r="AE26" s="325"/>
      <c r="AF26" s="325"/>
      <c r="AG26" s="325"/>
      <c r="AH26" s="326"/>
      <c r="AI26" s="324"/>
      <c r="AJ26" s="325"/>
      <c r="AK26" s="325"/>
      <c r="AL26" s="325"/>
      <c r="AM26" s="326"/>
      <c r="AN26" s="318"/>
      <c r="AO26" s="319"/>
      <c r="AP26" s="319"/>
      <c r="AQ26" s="319"/>
      <c r="AR26" s="319"/>
      <c r="AS26" s="319"/>
      <c r="AT26" s="319"/>
      <c r="AU26" s="319"/>
      <c r="AV26" s="319"/>
      <c r="AW26" s="319"/>
      <c r="AX26" s="319"/>
      <c r="AY26" s="319"/>
      <c r="AZ26" s="320"/>
    </row>
    <row r="27" spans="1:52" ht="12" customHeight="1">
      <c r="A27" s="332"/>
      <c r="B27" s="333"/>
      <c r="C27" s="140"/>
      <c r="D27" s="141"/>
      <c r="E27" s="141"/>
      <c r="F27" s="141"/>
      <c r="G27" s="141"/>
      <c r="H27" s="141"/>
      <c r="I27" s="141"/>
      <c r="J27" s="142"/>
      <c r="K27" s="141"/>
      <c r="L27" s="141"/>
      <c r="M27" s="141"/>
      <c r="N27" s="141"/>
      <c r="O27" s="143"/>
      <c r="P27" s="338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4"/>
      <c r="AD27" s="327"/>
      <c r="AE27" s="328"/>
      <c r="AF27" s="328"/>
      <c r="AG27" s="328"/>
      <c r="AH27" s="329"/>
      <c r="AI27" s="327"/>
      <c r="AJ27" s="331"/>
      <c r="AK27" s="132"/>
      <c r="AL27" s="132"/>
      <c r="AM27" s="133"/>
      <c r="AN27" s="312"/>
      <c r="AO27" s="313"/>
      <c r="AP27" s="313"/>
      <c r="AQ27" s="313"/>
      <c r="AR27" s="313"/>
      <c r="AS27" s="313"/>
      <c r="AT27" s="313"/>
      <c r="AU27" s="313"/>
      <c r="AV27" s="313"/>
      <c r="AW27" s="313"/>
      <c r="AX27" s="313"/>
      <c r="AY27" s="313"/>
      <c r="AZ27" s="314"/>
    </row>
    <row r="28" spans="1:52" ht="12" customHeight="1">
      <c r="A28" s="334"/>
      <c r="B28" s="335"/>
      <c r="C28" s="339"/>
      <c r="D28" s="340"/>
      <c r="E28" s="340"/>
      <c r="F28" s="340"/>
      <c r="G28" s="340"/>
      <c r="H28" s="340"/>
      <c r="I28" s="340"/>
      <c r="J28" s="340"/>
      <c r="K28" s="340"/>
      <c r="L28" s="340"/>
      <c r="M28" s="340"/>
      <c r="N28" s="340"/>
      <c r="O28" s="341"/>
      <c r="P28" s="315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  <c r="AB28" s="316"/>
      <c r="AC28" s="317"/>
      <c r="AD28" s="330"/>
      <c r="AE28" s="322"/>
      <c r="AF28" s="322"/>
      <c r="AG28" s="322"/>
      <c r="AH28" s="323"/>
      <c r="AI28" s="321"/>
      <c r="AJ28" s="322"/>
      <c r="AK28" s="322"/>
      <c r="AL28" s="322"/>
      <c r="AM28" s="323"/>
      <c r="AN28" s="315"/>
      <c r="AO28" s="316"/>
      <c r="AP28" s="316"/>
      <c r="AQ28" s="316"/>
      <c r="AR28" s="316"/>
      <c r="AS28" s="316"/>
      <c r="AT28" s="316"/>
      <c r="AU28" s="316"/>
      <c r="AV28" s="316"/>
      <c r="AW28" s="316"/>
      <c r="AX28" s="316"/>
      <c r="AY28" s="316"/>
      <c r="AZ28" s="317"/>
    </row>
    <row r="29" spans="1:52" ht="12" customHeight="1">
      <c r="A29" s="334"/>
      <c r="B29" s="335"/>
      <c r="C29" s="342"/>
      <c r="D29" s="343"/>
      <c r="E29" s="343"/>
      <c r="F29" s="343"/>
      <c r="G29" s="343"/>
      <c r="H29" s="343"/>
      <c r="I29" s="343"/>
      <c r="J29" s="343"/>
      <c r="K29" s="343"/>
      <c r="L29" s="343"/>
      <c r="M29" s="343"/>
      <c r="N29" s="343"/>
      <c r="O29" s="344"/>
      <c r="P29" s="318"/>
      <c r="Q29" s="319"/>
      <c r="R29" s="319"/>
      <c r="S29" s="319"/>
      <c r="T29" s="319"/>
      <c r="U29" s="319"/>
      <c r="V29" s="319"/>
      <c r="W29" s="319"/>
      <c r="X29" s="319"/>
      <c r="Y29" s="319"/>
      <c r="Z29" s="319"/>
      <c r="AA29" s="319"/>
      <c r="AB29" s="319"/>
      <c r="AC29" s="320"/>
      <c r="AD29" s="324"/>
      <c r="AE29" s="325"/>
      <c r="AF29" s="325"/>
      <c r="AG29" s="325"/>
      <c r="AH29" s="326"/>
      <c r="AI29" s="324"/>
      <c r="AJ29" s="325"/>
      <c r="AK29" s="325"/>
      <c r="AL29" s="325"/>
      <c r="AM29" s="326"/>
      <c r="AN29" s="318"/>
      <c r="AO29" s="319"/>
      <c r="AP29" s="319"/>
      <c r="AQ29" s="319"/>
      <c r="AR29" s="319"/>
      <c r="AS29" s="319"/>
      <c r="AT29" s="319"/>
      <c r="AU29" s="319"/>
      <c r="AV29" s="319"/>
      <c r="AW29" s="319"/>
      <c r="AX29" s="319"/>
      <c r="AY29" s="319"/>
      <c r="AZ29" s="320"/>
    </row>
    <row r="30" spans="1:52" ht="12" customHeight="1">
      <c r="A30" s="332"/>
      <c r="B30" s="333"/>
      <c r="C30" s="140"/>
      <c r="D30" s="141"/>
      <c r="E30" s="141"/>
      <c r="F30" s="141"/>
      <c r="G30" s="141"/>
      <c r="H30" s="141"/>
      <c r="I30" s="141"/>
      <c r="J30" s="142"/>
      <c r="K30" s="141"/>
      <c r="L30" s="141"/>
      <c r="M30" s="141"/>
      <c r="N30" s="141"/>
      <c r="O30" s="143"/>
      <c r="P30" s="338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313"/>
      <c r="AB30" s="313"/>
      <c r="AC30" s="314"/>
      <c r="AD30" s="327"/>
      <c r="AE30" s="328"/>
      <c r="AF30" s="328"/>
      <c r="AG30" s="328"/>
      <c r="AH30" s="329"/>
      <c r="AI30" s="327"/>
      <c r="AJ30" s="331"/>
      <c r="AK30" s="132"/>
      <c r="AL30" s="132"/>
      <c r="AM30" s="133"/>
      <c r="AN30" s="312"/>
      <c r="AO30" s="313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4"/>
    </row>
    <row r="31" spans="1:52" ht="12" customHeight="1">
      <c r="A31" s="334"/>
      <c r="B31" s="335"/>
      <c r="C31" s="339"/>
      <c r="D31" s="340"/>
      <c r="E31" s="340"/>
      <c r="F31" s="340"/>
      <c r="G31" s="340"/>
      <c r="H31" s="340"/>
      <c r="I31" s="340"/>
      <c r="J31" s="340"/>
      <c r="K31" s="340"/>
      <c r="L31" s="340"/>
      <c r="M31" s="340"/>
      <c r="N31" s="340"/>
      <c r="O31" s="341"/>
      <c r="P31" s="315"/>
      <c r="Q31" s="316"/>
      <c r="R31" s="316"/>
      <c r="S31" s="316"/>
      <c r="T31" s="316"/>
      <c r="U31" s="316"/>
      <c r="V31" s="316"/>
      <c r="W31" s="316"/>
      <c r="X31" s="316"/>
      <c r="Y31" s="316"/>
      <c r="Z31" s="316"/>
      <c r="AA31" s="316"/>
      <c r="AB31" s="316"/>
      <c r="AC31" s="317"/>
      <c r="AD31" s="330"/>
      <c r="AE31" s="322"/>
      <c r="AF31" s="322"/>
      <c r="AG31" s="322"/>
      <c r="AH31" s="323"/>
      <c r="AI31" s="321"/>
      <c r="AJ31" s="322"/>
      <c r="AK31" s="322"/>
      <c r="AL31" s="322"/>
      <c r="AM31" s="323"/>
      <c r="AN31" s="315"/>
      <c r="AO31" s="316"/>
      <c r="AP31" s="316"/>
      <c r="AQ31" s="316"/>
      <c r="AR31" s="316"/>
      <c r="AS31" s="316"/>
      <c r="AT31" s="316"/>
      <c r="AU31" s="316"/>
      <c r="AV31" s="316"/>
      <c r="AW31" s="316"/>
      <c r="AX31" s="316"/>
      <c r="AY31" s="316"/>
      <c r="AZ31" s="317"/>
    </row>
    <row r="32" spans="1:52" ht="12" customHeight="1">
      <c r="A32" s="336"/>
      <c r="B32" s="337"/>
      <c r="C32" s="342"/>
      <c r="D32" s="343"/>
      <c r="E32" s="343"/>
      <c r="F32" s="343"/>
      <c r="G32" s="343"/>
      <c r="H32" s="343"/>
      <c r="I32" s="343"/>
      <c r="J32" s="343"/>
      <c r="K32" s="343"/>
      <c r="L32" s="343"/>
      <c r="M32" s="343"/>
      <c r="N32" s="343"/>
      <c r="O32" s="344"/>
      <c r="P32" s="318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319"/>
      <c r="AB32" s="319"/>
      <c r="AC32" s="320"/>
      <c r="AD32" s="324"/>
      <c r="AE32" s="325"/>
      <c r="AF32" s="325"/>
      <c r="AG32" s="325"/>
      <c r="AH32" s="326"/>
      <c r="AI32" s="324"/>
      <c r="AJ32" s="325"/>
      <c r="AK32" s="325"/>
      <c r="AL32" s="325"/>
      <c r="AM32" s="326"/>
      <c r="AN32" s="318"/>
      <c r="AO32" s="319"/>
      <c r="AP32" s="319"/>
      <c r="AQ32" s="319"/>
      <c r="AR32" s="319"/>
      <c r="AS32" s="319"/>
      <c r="AT32" s="319"/>
      <c r="AU32" s="319"/>
      <c r="AV32" s="319"/>
      <c r="AW32" s="319"/>
      <c r="AX32" s="319"/>
      <c r="AY32" s="319"/>
      <c r="AZ32" s="320"/>
    </row>
    <row r="33" spans="1:52" ht="12" customHeight="1">
      <c r="A33" s="332"/>
      <c r="B33" s="333"/>
      <c r="C33" s="140"/>
      <c r="D33" s="141"/>
      <c r="E33" s="141"/>
      <c r="F33" s="141"/>
      <c r="G33" s="141"/>
      <c r="H33" s="141"/>
      <c r="I33" s="141"/>
      <c r="J33" s="142"/>
      <c r="K33" s="141"/>
      <c r="L33" s="141"/>
      <c r="M33" s="141"/>
      <c r="N33" s="141"/>
      <c r="O33" s="143"/>
      <c r="P33" s="338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313"/>
      <c r="AB33" s="313"/>
      <c r="AC33" s="314"/>
      <c r="AD33" s="327"/>
      <c r="AE33" s="328"/>
      <c r="AF33" s="328"/>
      <c r="AG33" s="328"/>
      <c r="AH33" s="329"/>
      <c r="AI33" s="327"/>
      <c r="AJ33" s="331"/>
      <c r="AK33" s="132"/>
      <c r="AL33" s="132"/>
      <c r="AM33" s="133"/>
      <c r="AN33" s="312"/>
      <c r="AO33" s="313"/>
      <c r="AP33" s="313"/>
      <c r="AQ33" s="313"/>
      <c r="AR33" s="313"/>
      <c r="AS33" s="313"/>
      <c r="AT33" s="313"/>
      <c r="AU33" s="313"/>
      <c r="AV33" s="313"/>
      <c r="AW33" s="313"/>
      <c r="AX33" s="313"/>
      <c r="AY33" s="313"/>
      <c r="AZ33" s="314"/>
    </row>
    <row r="34" spans="1:52" ht="12" customHeight="1">
      <c r="A34" s="334"/>
      <c r="B34" s="335"/>
      <c r="C34" s="339"/>
      <c r="D34" s="340"/>
      <c r="E34" s="340"/>
      <c r="F34" s="340"/>
      <c r="G34" s="340"/>
      <c r="H34" s="340"/>
      <c r="I34" s="340"/>
      <c r="J34" s="340"/>
      <c r="K34" s="340"/>
      <c r="L34" s="340"/>
      <c r="M34" s="340"/>
      <c r="N34" s="340"/>
      <c r="O34" s="341"/>
      <c r="P34" s="315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6"/>
      <c r="AB34" s="316"/>
      <c r="AC34" s="317"/>
      <c r="AD34" s="330"/>
      <c r="AE34" s="322"/>
      <c r="AF34" s="322"/>
      <c r="AG34" s="322"/>
      <c r="AH34" s="323"/>
      <c r="AI34" s="321"/>
      <c r="AJ34" s="322"/>
      <c r="AK34" s="322"/>
      <c r="AL34" s="322"/>
      <c r="AM34" s="323"/>
      <c r="AN34" s="315"/>
      <c r="AO34" s="316"/>
      <c r="AP34" s="316"/>
      <c r="AQ34" s="316"/>
      <c r="AR34" s="316"/>
      <c r="AS34" s="316"/>
      <c r="AT34" s="316"/>
      <c r="AU34" s="316"/>
      <c r="AV34" s="316"/>
      <c r="AW34" s="316"/>
      <c r="AX34" s="316"/>
      <c r="AY34" s="316"/>
      <c r="AZ34" s="317"/>
    </row>
    <row r="35" spans="1:52" ht="12" customHeight="1">
      <c r="A35" s="336"/>
      <c r="B35" s="337"/>
      <c r="C35" s="342"/>
      <c r="D35" s="343"/>
      <c r="E35" s="343"/>
      <c r="F35" s="343"/>
      <c r="G35" s="343"/>
      <c r="H35" s="343"/>
      <c r="I35" s="343"/>
      <c r="J35" s="343"/>
      <c r="K35" s="343"/>
      <c r="L35" s="343"/>
      <c r="M35" s="343"/>
      <c r="N35" s="343"/>
      <c r="O35" s="344"/>
      <c r="P35" s="318"/>
      <c r="Q35" s="319"/>
      <c r="R35" s="319"/>
      <c r="S35" s="319"/>
      <c r="T35" s="319"/>
      <c r="U35" s="319"/>
      <c r="V35" s="319"/>
      <c r="W35" s="319"/>
      <c r="X35" s="319"/>
      <c r="Y35" s="319"/>
      <c r="Z35" s="319"/>
      <c r="AA35" s="319"/>
      <c r="AB35" s="319"/>
      <c r="AC35" s="320"/>
      <c r="AD35" s="324"/>
      <c r="AE35" s="325"/>
      <c r="AF35" s="325"/>
      <c r="AG35" s="325"/>
      <c r="AH35" s="326"/>
      <c r="AI35" s="324"/>
      <c r="AJ35" s="325"/>
      <c r="AK35" s="325"/>
      <c r="AL35" s="325"/>
      <c r="AM35" s="326"/>
      <c r="AN35" s="318"/>
      <c r="AO35" s="319"/>
      <c r="AP35" s="319"/>
      <c r="AQ35" s="319"/>
      <c r="AR35" s="319"/>
      <c r="AS35" s="319"/>
      <c r="AT35" s="319"/>
      <c r="AU35" s="319"/>
      <c r="AV35" s="319"/>
      <c r="AW35" s="319"/>
      <c r="AX35" s="319"/>
      <c r="AY35" s="319"/>
      <c r="AZ35" s="320"/>
    </row>
    <row r="36" spans="1:52" ht="12" customHeight="1">
      <c r="A36" s="332"/>
      <c r="B36" s="333"/>
      <c r="C36" s="140"/>
      <c r="D36" s="141"/>
      <c r="E36" s="141"/>
      <c r="F36" s="141"/>
      <c r="G36" s="141"/>
      <c r="H36" s="141"/>
      <c r="I36" s="141"/>
      <c r="J36" s="142"/>
      <c r="K36" s="141"/>
      <c r="L36" s="141"/>
      <c r="M36" s="141"/>
      <c r="N36" s="141"/>
      <c r="O36" s="143"/>
      <c r="P36" s="338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4"/>
      <c r="AD36" s="327"/>
      <c r="AE36" s="328"/>
      <c r="AF36" s="328"/>
      <c r="AG36" s="328"/>
      <c r="AH36" s="329"/>
      <c r="AI36" s="327"/>
      <c r="AJ36" s="331"/>
      <c r="AK36" s="132"/>
      <c r="AL36" s="132"/>
      <c r="AM36" s="133"/>
      <c r="AN36" s="312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4"/>
    </row>
    <row r="37" spans="1:52" ht="12" customHeight="1">
      <c r="A37" s="334"/>
      <c r="B37" s="335"/>
      <c r="C37" s="339"/>
      <c r="D37" s="340"/>
      <c r="E37" s="340"/>
      <c r="F37" s="340"/>
      <c r="G37" s="340"/>
      <c r="H37" s="340"/>
      <c r="I37" s="340"/>
      <c r="J37" s="340"/>
      <c r="K37" s="340"/>
      <c r="L37" s="340"/>
      <c r="M37" s="340"/>
      <c r="N37" s="340"/>
      <c r="O37" s="341"/>
      <c r="P37" s="315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316"/>
      <c r="AB37" s="316"/>
      <c r="AC37" s="317"/>
      <c r="AD37" s="330"/>
      <c r="AE37" s="322"/>
      <c r="AF37" s="322"/>
      <c r="AG37" s="322"/>
      <c r="AH37" s="323"/>
      <c r="AI37" s="321"/>
      <c r="AJ37" s="322"/>
      <c r="AK37" s="322"/>
      <c r="AL37" s="322"/>
      <c r="AM37" s="323"/>
      <c r="AN37" s="315"/>
      <c r="AO37" s="316"/>
      <c r="AP37" s="316"/>
      <c r="AQ37" s="316"/>
      <c r="AR37" s="316"/>
      <c r="AS37" s="316"/>
      <c r="AT37" s="316"/>
      <c r="AU37" s="316"/>
      <c r="AV37" s="316"/>
      <c r="AW37" s="316"/>
      <c r="AX37" s="316"/>
      <c r="AY37" s="316"/>
      <c r="AZ37" s="317"/>
    </row>
    <row r="38" spans="1:52" ht="12" customHeight="1">
      <c r="A38" s="336"/>
      <c r="B38" s="337"/>
      <c r="C38" s="342"/>
      <c r="D38" s="343"/>
      <c r="E38" s="343"/>
      <c r="F38" s="343"/>
      <c r="G38" s="343"/>
      <c r="H38" s="343"/>
      <c r="I38" s="343"/>
      <c r="J38" s="343"/>
      <c r="K38" s="343"/>
      <c r="L38" s="343"/>
      <c r="M38" s="343"/>
      <c r="N38" s="343"/>
      <c r="O38" s="344"/>
      <c r="P38" s="318"/>
      <c r="Q38" s="319"/>
      <c r="R38" s="319"/>
      <c r="S38" s="319"/>
      <c r="T38" s="319"/>
      <c r="U38" s="319"/>
      <c r="V38" s="319"/>
      <c r="W38" s="319"/>
      <c r="X38" s="319"/>
      <c r="Y38" s="319"/>
      <c r="Z38" s="319"/>
      <c r="AA38" s="319"/>
      <c r="AB38" s="319"/>
      <c r="AC38" s="320"/>
      <c r="AD38" s="324"/>
      <c r="AE38" s="325"/>
      <c r="AF38" s="325"/>
      <c r="AG38" s="325"/>
      <c r="AH38" s="326"/>
      <c r="AI38" s="324"/>
      <c r="AJ38" s="325"/>
      <c r="AK38" s="325"/>
      <c r="AL38" s="325"/>
      <c r="AM38" s="326"/>
      <c r="AN38" s="318"/>
      <c r="AO38" s="319"/>
      <c r="AP38" s="319"/>
      <c r="AQ38" s="319"/>
      <c r="AR38" s="319"/>
      <c r="AS38" s="319"/>
      <c r="AT38" s="319"/>
      <c r="AU38" s="319"/>
      <c r="AV38" s="319"/>
      <c r="AW38" s="319"/>
      <c r="AX38" s="319"/>
      <c r="AY38" s="319"/>
      <c r="AZ38" s="320"/>
    </row>
    <row r="39" spans="1:52" ht="12" customHeight="1">
      <c r="A39" s="332"/>
      <c r="B39" s="333"/>
      <c r="C39" s="140"/>
      <c r="D39" s="141"/>
      <c r="E39" s="141"/>
      <c r="F39" s="141"/>
      <c r="G39" s="141"/>
      <c r="H39" s="141"/>
      <c r="I39" s="141"/>
      <c r="J39" s="142"/>
      <c r="K39" s="141"/>
      <c r="L39" s="141"/>
      <c r="M39" s="141"/>
      <c r="N39" s="141"/>
      <c r="O39" s="143"/>
      <c r="P39" s="338"/>
      <c r="Q39" s="313"/>
      <c r="R39" s="313"/>
      <c r="S39" s="313"/>
      <c r="T39" s="313"/>
      <c r="U39" s="313"/>
      <c r="V39" s="313"/>
      <c r="W39" s="313"/>
      <c r="X39" s="313"/>
      <c r="Y39" s="313"/>
      <c r="Z39" s="313"/>
      <c r="AA39" s="313"/>
      <c r="AB39" s="313"/>
      <c r="AC39" s="314"/>
      <c r="AD39" s="327"/>
      <c r="AE39" s="328"/>
      <c r="AF39" s="328"/>
      <c r="AG39" s="328"/>
      <c r="AH39" s="329"/>
      <c r="AI39" s="327"/>
      <c r="AJ39" s="331"/>
      <c r="AK39" s="132"/>
      <c r="AL39" s="132"/>
      <c r="AM39" s="133"/>
      <c r="AN39" s="312"/>
      <c r="AO39" s="313"/>
      <c r="AP39" s="313"/>
      <c r="AQ39" s="313"/>
      <c r="AR39" s="313"/>
      <c r="AS39" s="313"/>
      <c r="AT39" s="313"/>
      <c r="AU39" s="313"/>
      <c r="AV39" s="313"/>
      <c r="AW39" s="313"/>
      <c r="AX39" s="313"/>
      <c r="AY39" s="313"/>
      <c r="AZ39" s="314"/>
    </row>
    <row r="40" spans="1:52" ht="12" customHeight="1">
      <c r="A40" s="334"/>
      <c r="B40" s="335"/>
      <c r="C40" s="339"/>
      <c r="D40" s="340"/>
      <c r="E40" s="340"/>
      <c r="F40" s="340"/>
      <c r="G40" s="340"/>
      <c r="H40" s="340"/>
      <c r="I40" s="340"/>
      <c r="J40" s="340"/>
      <c r="K40" s="340"/>
      <c r="L40" s="340"/>
      <c r="M40" s="340"/>
      <c r="N40" s="340"/>
      <c r="O40" s="341"/>
      <c r="P40" s="315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6"/>
      <c r="AC40" s="317"/>
      <c r="AD40" s="330"/>
      <c r="AE40" s="322"/>
      <c r="AF40" s="322"/>
      <c r="AG40" s="322"/>
      <c r="AH40" s="323"/>
      <c r="AI40" s="321"/>
      <c r="AJ40" s="322"/>
      <c r="AK40" s="322"/>
      <c r="AL40" s="322"/>
      <c r="AM40" s="323"/>
      <c r="AN40" s="315"/>
      <c r="AO40" s="316"/>
      <c r="AP40" s="316"/>
      <c r="AQ40" s="316"/>
      <c r="AR40" s="316"/>
      <c r="AS40" s="316"/>
      <c r="AT40" s="316"/>
      <c r="AU40" s="316"/>
      <c r="AV40" s="316"/>
      <c r="AW40" s="316"/>
      <c r="AX40" s="316"/>
      <c r="AY40" s="316"/>
      <c r="AZ40" s="317"/>
    </row>
    <row r="41" spans="1:52" ht="12" customHeight="1">
      <c r="A41" s="336"/>
      <c r="B41" s="337"/>
      <c r="C41" s="342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4"/>
      <c r="P41" s="318"/>
      <c r="Q41" s="319"/>
      <c r="R41" s="319"/>
      <c r="S41" s="319"/>
      <c r="T41" s="319"/>
      <c r="U41" s="319"/>
      <c r="V41" s="319"/>
      <c r="W41" s="319"/>
      <c r="X41" s="319"/>
      <c r="Y41" s="319"/>
      <c r="Z41" s="319"/>
      <c r="AA41" s="319"/>
      <c r="AB41" s="319"/>
      <c r="AC41" s="320"/>
      <c r="AD41" s="324"/>
      <c r="AE41" s="325"/>
      <c r="AF41" s="325"/>
      <c r="AG41" s="325"/>
      <c r="AH41" s="326"/>
      <c r="AI41" s="324"/>
      <c r="AJ41" s="325"/>
      <c r="AK41" s="325"/>
      <c r="AL41" s="325"/>
      <c r="AM41" s="326"/>
      <c r="AN41" s="318"/>
      <c r="AO41" s="319"/>
      <c r="AP41" s="319"/>
      <c r="AQ41" s="319"/>
      <c r="AR41" s="319"/>
      <c r="AS41" s="319"/>
      <c r="AT41" s="319"/>
      <c r="AU41" s="319"/>
      <c r="AV41" s="319"/>
      <c r="AW41" s="319"/>
      <c r="AX41" s="319"/>
      <c r="AY41" s="319"/>
      <c r="AZ41" s="320"/>
    </row>
  </sheetData>
  <customSheetViews>
    <customSheetView guid="{A6ABB528-5CA4-4D4C-8A92-065340906B37}" scale="85" showPageBreaks="1" view="pageBreakPreview" showRuler="0">
      <pageMargins left="0.59055118110236227" right="0.59055118110236227" top="0.78740157480314965" bottom="0.59055118110236227" header="0.51181102362204722" footer="0.31496062992125984"/>
      <pageSetup paperSize="9" orientation="landscape" r:id="rId1"/>
      <headerFooter alignWithMargins="0"/>
    </customSheetView>
    <customSheetView guid="{8E288406-DA20-4489-A100-6BF008027C94}" scale="85" showPageBreaks="1" view="pageBreakPreview" showRuler="0">
      <pageMargins left="0.59055118110236227" right="0.59055118110236227" top="0.78740157480314965" bottom="0.59055118110236227" header="0.51181102362204722" footer="0.31496062992125984"/>
      <pageSetup paperSize="9" orientation="landscape" r:id="rId2"/>
      <headerFooter alignWithMargins="0"/>
    </customSheetView>
  </customSheetViews>
  <mergeCells count="101">
    <mergeCell ref="C1:P2"/>
    <mergeCell ref="Q1:R1"/>
    <mergeCell ref="S1:X1"/>
    <mergeCell ref="C6:O8"/>
    <mergeCell ref="P6:AC8"/>
    <mergeCell ref="Q2:R2"/>
    <mergeCell ref="S2:X2"/>
    <mergeCell ref="Y2:AC2"/>
    <mergeCell ref="Y1:AE1"/>
    <mergeCell ref="AD2:AE2"/>
    <mergeCell ref="AQ2:AR2"/>
    <mergeCell ref="AS2:AV2"/>
    <mergeCell ref="AW2:AZ2"/>
    <mergeCell ref="AF1:AK1"/>
    <mergeCell ref="AL1:AP1"/>
    <mergeCell ref="AQ1:AR1"/>
    <mergeCell ref="AS1:AV1"/>
    <mergeCell ref="AW1:AZ1"/>
    <mergeCell ref="AF2:AK2"/>
    <mergeCell ref="AL2:AP2"/>
    <mergeCell ref="AI6:AM8"/>
    <mergeCell ref="A15:B17"/>
    <mergeCell ref="AN12:AZ14"/>
    <mergeCell ref="AI13:AM14"/>
    <mergeCell ref="AN9:AZ11"/>
    <mergeCell ref="AI10:AM11"/>
    <mergeCell ref="AI9:AJ9"/>
    <mergeCell ref="AI15:AJ15"/>
    <mergeCell ref="P15:AC17"/>
    <mergeCell ref="AD12:AH14"/>
    <mergeCell ref="A6:B8"/>
    <mergeCell ref="A9:B11"/>
    <mergeCell ref="P9:AC11"/>
    <mergeCell ref="AD9:AH11"/>
    <mergeCell ref="AD6:AH8"/>
    <mergeCell ref="C10:O11"/>
    <mergeCell ref="AN6:AZ8"/>
    <mergeCell ref="A12:B14"/>
    <mergeCell ref="C13:O14"/>
    <mergeCell ref="C16:O17"/>
    <mergeCell ref="P12:AC14"/>
    <mergeCell ref="AI12:AJ12"/>
    <mergeCell ref="AN15:AZ17"/>
    <mergeCell ref="AI16:AM17"/>
    <mergeCell ref="C22:O23"/>
    <mergeCell ref="A24:B26"/>
    <mergeCell ref="A18:B20"/>
    <mergeCell ref="P18:AC20"/>
    <mergeCell ref="A21:B23"/>
    <mergeCell ref="P21:AC23"/>
    <mergeCell ref="C25:O26"/>
    <mergeCell ref="C19:O20"/>
    <mergeCell ref="AN24:AZ26"/>
    <mergeCell ref="AI25:AM26"/>
    <mergeCell ref="P24:AC26"/>
    <mergeCell ref="AI24:AJ24"/>
    <mergeCell ref="AI18:AJ18"/>
    <mergeCell ref="AD18:AH20"/>
    <mergeCell ref="AD15:AH17"/>
    <mergeCell ref="AN18:AZ20"/>
    <mergeCell ref="AI19:AM20"/>
    <mergeCell ref="AN21:AZ23"/>
    <mergeCell ref="AD27:AH29"/>
    <mergeCell ref="AI27:AJ27"/>
    <mergeCell ref="AD24:AH26"/>
    <mergeCell ref="AD21:AH23"/>
    <mergeCell ref="AI21:AJ21"/>
    <mergeCell ref="AI22:AM23"/>
    <mergeCell ref="AN27:AZ29"/>
    <mergeCell ref="AI28:AM29"/>
    <mergeCell ref="AN33:AZ35"/>
    <mergeCell ref="AI34:AM35"/>
    <mergeCell ref="C31:O32"/>
    <mergeCell ref="AI30:AJ30"/>
    <mergeCell ref="P30:AC32"/>
    <mergeCell ref="AD30:AH32"/>
    <mergeCell ref="A27:B29"/>
    <mergeCell ref="P27:AC29"/>
    <mergeCell ref="A33:B35"/>
    <mergeCell ref="P33:AC35"/>
    <mergeCell ref="A30:B32"/>
    <mergeCell ref="AN30:AZ32"/>
    <mergeCell ref="AI31:AM32"/>
    <mergeCell ref="AD33:AH35"/>
    <mergeCell ref="AI33:AJ33"/>
    <mergeCell ref="C34:O35"/>
    <mergeCell ref="C28:O29"/>
    <mergeCell ref="AN36:AZ38"/>
    <mergeCell ref="AI37:AM38"/>
    <mergeCell ref="AD36:AH38"/>
    <mergeCell ref="AN39:AZ41"/>
    <mergeCell ref="AI40:AM41"/>
    <mergeCell ref="AI36:AJ36"/>
    <mergeCell ref="AD39:AH41"/>
    <mergeCell ref="AI39:AJ39"/>
    <mergeCell ref="A36:B38"/>
    <mergeCell ref="P36:AC38"/>
    <mergeCell ref="C40:O41"/>
    <mergeCell ref="C37:O38"/>
    <mergeCell ref="A39:B41"/>
    <mergeCell ref="P39:AC41"/>
  </mergeCells>
  <phoneticPr fontId="2"/>
  <pageMargins left="0.59055118110236227" right="0.59055118110236227" top="0.78740157480314965" bottom="0.59055118110236227" header="0.51181102362204722" footer="0.31496062992125984"/>
  <pageSetup paperSize="9" orientation="landscape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Z66"/>
  <sheetViews>
    <sheetView showGridLines="0" view="pageBreakPreview" zoomScaleNormal="75" zoomScaleSheetLayoutView="100" workbookViewId="0">
      <selection activeCell="P13" sqref="P13"/>
    </sheetView>
  </sheetViews>
  <sheetFormatPr defaultColWidth="2.625" defaultRowHeight="12"/>
  <cols>
    <col min="1" max="16384" width="2.625" style="135"/>
  </cols>
  <sheetData>
    <row r="1" spans="1:52" ht="14.25" customHeight="1">
      <c r="A1" s="244" t="s">
        <v>3</v>
      </c>
      <c r="B1" s="145"/>
      <c r="C1" s="450" t="s">
        <v>119</v>
      </c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  <c r="Q1" s="887" t="s">
        <v>4</v>
      </c>
      <c r="R1" s="888"/>
      <c r="S1" s="885" t="s">
        <v>130</v>
      </c>
      <c r="T1" s="878"/>
      <c r="U1" s="878"/>
      <c r="V1" s="878"/>
      <c r="W1" s="878"/>
      <c r="X1" s="886"/>
      <c r="Y1" s="871">
        <v>45044</v>
      </c>
      <c r="Z1" s="872"/>
      <c r="AA1" s="872"/>
      <c r="AB1" s="872"/>
      <c r="AC1" s="872"/>
      <c r="AD1" s="872"/>
      <c r="AE1" s="873"/>
      <c r="AF1" s="874" t="s">
        <v>6</v>
      </c>
      <c r="AG1" s="875"/>
      <c r="AH1" s="875"/>
      <c r="AI1" s="875"/>
      <c r="AJ1" s="875"/>
      <c r="AK1" s="876"/>
      <c r="AL1" s="877" t="s">
        <v>174</v>
      </c>
      <c r="AM1" s="878"/>
      <c r="AN1" s="878"/>
      <c r="AO1" s="878"/>
      <c r="AP1" s="878"/>
      <c r="AQ1" s="878" t="s">
        <v>81</v>
      </c>
      <c r="AR1" s="879"/>
      <c r="AS1" s="885" t="s">
        <v>7</v>
      </c>
      <c r="AT1" s="878"/>
      <c r="AU1" s="878"/>
      <c r="AV1" s="886"/>
      <c r="AW1" s="871">
        <v>45027</v>
      </c>
      <c r="AX1" s="872"/>
      <c r="AY1" s="872"/>
      <c r="AZ1" s="873"/>
    </row>
    <row r="2" spans="1:52" ht="14.25" customHeight="1">
      <c r="A2" s="146"/>
      <c r="B2" s="147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Q2" s="880">
        <v>1</v>
      </c>
      <c r="R2" s="881"/>
      <c r="S2" s="874" t="s">
        <v>295</v>
      </c>
      <c r="T2" s="875"/>
      <c r="U2" s="875"/>
      <c r="V2" s="875"/>
      <c r="W2" s="875"/>
      <c r="X2" s="876"/>
      <c r="Y2" s="877" t="s">
        <v>149</v>
      </c>
      <c r="Z2" s="878"/>
      <c r="AA2" s="878"/>
      <c r="AB2" s="878"/>
      <c r="AC2" s="878"/>
      <c r="AD2" s="878" t="s">
        <v>128</v>
      </c>
      <c r="AE2" s="879"/>
      <c r="AF2" s="874" t="s">
        <v>9</v>
      </c>
      <c r="AG2" s="875"/>
      <c r="AH2" s="875"/>
      <c r="AI2" s="875"/>
      <c r="AJ2" s="875"/>
      <c r="AK2" s="876"/>
      <c r="AL2" s="877" t="s">
        <v>175</v>
      </c>
      <c r="AM2" s="878"/>
      <c r="AN2" s="878"/>
      <c r="AO2" s="878"/>
      <c r="AP2" s="878"/>
      <c r="AQ2" s="878" t="s">
        <v>129</v>
      </c>
      <c r="AR2" s="879"/>
      <c r="AS2" s="885" t="s">
        <v>300</v>
      </c>
      <c r="AT2" s="878"/>
      <c r="AU2" s="878"/>
      <c r="AV2" s="886"/>
      <c r="AW2" s="882">
        <v>45027</v>
      </c>
      <c r="AX2" s="883"/>
      <c r="AY2" s="883"/>
      <c r="AZ2" s="884"/>
    </row>
    <row r="3" spans="1:52" ht="14.25">
      <c r="A3" s="148" t="s">
        <v>82</v>
      </c>
      <c r="B3" s="149"/>
      <c r="C3" s="150"/>
      <c r="D3" s="150"/>
      <c r="E3" s="150"/>
      <c r="F3" s="151" t="s">
        <v>83</v>
      </c>
      <c r="G3" s="152"/>
      <c r="H3" s="152"/>
      <c r="I3" s="152"/>
      <c r="J3" s="152"/>
      <c r="K3" s="152"/>
      <c r="L3" s="152"/>
      <c r="M3" s="152"/>
      <c r="N3" s="152"/>
      <c r="O3" s="153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33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54"/>
      <c r="AQ3" s="154"/>
      <c r="AR3" s="154"/>
      <c r="AS3" s="154"/>
      <c r="AT3" s="154"/>
      <c r="AU3" s="154"/>
      <c r="AV3" s="154"/>
      <c r="AW3" s="154"/>
      <c r="AX3" s="154"/>
      <c r="AY3" s="154"/>
      <c r="AZ3" s="155"/>
    </row>
    <row r="4" spans="1:52" ht="14.25">
      <c r="A4" s="179" t="s">
        <v>173</v>
      </c>
      <c r="B4" s="156"/>
      <c r="C4" s="157"/>
      <c r="D4" s="157"/>
      <c r="E4" s="157"/>
      <c r="F4" s="180" t="s">
        <v>172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9"/>
      <c r="AF4" s="154"/>
      <c r="AG4" s="154"/>
      <c r="AH4" s="154"/>
      <c r="AI4" s="154"/>
      <c r="AJ4" s="154"/>
      <c r="AK4" s="154"/>
      <c r="AL4" s="154"/>
      <c r="AM4" s="154"/>
      <c r="AN4" s="154"/>
      <c r="AO4" s="154"/>
      <c r="AP4" s="154"/>
      <c r="AQ4" s="154"/>
      <c r="AR4" s="154"/>
      <c r="AS4" s="154"/>
      <c r="AT4" s="154"/>
      <c r="AU4" s="154"/>
      <c r="AV4" s="154"/>
      <c r="AW4" s="154"/>
      <c r="AX4" s="154"/>
      <c r="AY4" s="154"/>
      <c r="AZ4" s="160"/>
    </row>
    <row r="5" spans="1:52">
      <c r="A5" s="456" t="s">
        <v>1</v>
      </c>
      <c r="B5" s="457"/>
      <c r="C5" s="457"/>
      <c r="D5" s="457"/>
      <c r="E5" s="457"/>
      <c r="F5" s="457"/>
      <c r="G5" s="457"/>
      <c r="H5" s="457"/>
      <c r="I5" s="457"/>
      <c r="J5" s="457"/>
      <c r="K5" s="457"/>
      <c r="L5" s="457"/>
      <c r="M5" s="457"/>
      <c r="N5" s="457"/>
      <c r="O5" s="457"/>
      <c r="P5" s="457"/>
      <c r="Q5" s="457"/>
      <c r="R5" s="457"/>
      <c r="S5" s="457"/>
      <c r="T5" s="457"/>
      <c r="U5" s="457"/>
      <c r="V5" s="457"/>
      <c r="W5" s="457"/>
      <c r="X5" s="457"/>
      <c r="Y5" s="457"/>
      <c r="Z5" s="457"/>
      <c r="AA5" s="457"/>
      <c r="AB5" s="457"/>
      <c r="AC5" s="457"/>
      <c r="AD5" s="457"/>
      <c r="AE5" s="457"/>
      <c r="AF5" s="457"/>
      <c r="AG5" s="457"/>
      <c r="AH5" s="457"/>
      <c r="AI5" s="457"/>
      <c r="AJ5" s="457"/>
      <c r="AK5" s="457"/>
      <c r="AL5" s="457"/>
      <c r="AM5" s="457"/>
      <c r="AN5" s="457"/>
      <c r="AO5" s="457"/>
      <c r="AP5" s="457"/>
      <c r="AQ5" s="457"/>
      <c r="AR5" s="457"/>
      <c r="AS5" s="457"/>
      <c r="AT5" s="457"/>
      <c r="AU5" s="457"/>
      <c r="AV5" s="457"/>
      <c r="AW5" s="457"/>
      <c r="AX5" s="457"/>
      <c r="AY5" s="457"/>
      <c r="AZ5" s="458"/>
    </row>
    <row r="6" spans="1:52">
      <c r="A6" s="459"/>
      <c r="B6" s="460"/>
      <c r="C6" s="460"/>
      <c r="D6" s="460"/>
      <c r="E6" s="460"/>
      <c r="F6" s="460"/>
      <c r="G6" s="460"/>
      <c r="H6" s="460"/>
      <c r="I6" s="460"/>
      <c r="J6" s="460"/>
      <c r="K6" s="460"/>
      <c r="L6" s="460"/>
      <c r="M6" s="460"/>
      <c r="N6" s="460"/>
      <c r="O6" s="460"/>
      <c r="P6" s="460"/>
      <c r="Q6" s="460"/>
      <c r="R6" s="460"/>
      <c r="S6" s="460"/>
      <c r="T6" s="460"/>
      <c r="U6" s="460"/>
      <c r="V6" s="460"/>
      <c r="W6" s="460"/>
      <c r="X6" s="460"/>
      <c r="Y6" s="460"/>
      <c r="Z6" s="460"/>
      <c r="AA6" s="460"/>
      <c r="AB6" s="460"/>
      <c r="AC6" s="460"/>
      <c r="AD6" s="460"/>
      <c r="AE6" s="460"/>
      <c r="AF6" s="460"/>
      <c r="AG6" s="460"/>
      <c r="AH6" s="460"/>
      <c r="AI6" s="460"/>
      <c r="AJ6" s="460"/>
      <c r="AK6" s="460"/>
      <c r="AL6" s="460"/>
      <c r="AM6" s="460"/>
      <c r="AN6" s="460"/>
      <c r="AO6" s="460"/>
      <c r="AP6" s="460"/>
      <c r="AQ6" s="460"/>
      <c r="AR6" s="460"/>
      <c r="AS6" s="460"/>
      <c r="AT6" s="460"/>
      <c r="AU6" s="460"/>
      <c r="AV6" s="460"/>
      <c r="AW6" s="460"/>
      <c r="AX6" s="460"/>
      <c r="AY6" s="460"/>
      <c r="AZ6" s="461"/>
    </row>
    <row r="7" spans="1:52">
      <c r="A7" s="459"/>
      <c r="B7" s="460"/>
      <c r="C7" s="460"/>
      <c r="D7" s="460"/>
      <c r="E7" s="460"/>
      <c r="F7" s="460"/>
      <c r="G7" s="460"/>
      <c r="H7" s="460"/>
      <c r="I7" s="460"/>
      <c r="J7" s="460"/>
      <c r="K7" s="460"/>
      <c r="L7" s="460"/>
      <c r="M7" s="460"/>
      <c r="N7" s="460"/>
      <c r="O7" s="460"/>
      <c r="P7" s="460"/>
      <c r="Q7" s="460"/>
      <c r="R7" s="460"/>
      <c r="S7" s="460"/>
      <c r="T7" s="460"/>
      <c r="U7" s="460"/>
      <c r="V7" s="460"/>
      <c r="W7" s="460"/>
      <c r="X7" s="460"/>
      <c r="Y7" s="460"/>
      <c r="Z7" s="460"/>
      <c r="AA7" s="460"/>
      <c r="AB7" s="460"/>
      <c r="AC7" s="460"/>
      <c r="AD7" s="460"/>
      <c r="AE7" s="460"/>
      <c r="AF7" s="460"/>
      <c r="AG7" s="460"/>
      <c r="AH7" s="460"/>
      <c r="AI7" s="460"/>
      <c r="AJ7" s="460"/>
      <c r="AK7" s="460"/>
      <c r="AL7" s="460"/>
      <c r="AM7" s="460"/>
      <c r="AN7" s="460"/>
      <c r="AO7" s="460"/>
      <c r="AP7" s="460"/>
      <c r="AQ7" s="460"/>
      <c r="AR7" s="460"/>
      <c r="AS7" s="460"/>
      <c r="AT7" s="460"/>
      <c r="AU7" s="460"/>
      <c r="AV7" s="460"/>
      <c r="AW7" s="460"/>
      <c r="AX7" s="460"/>
      <c r="AY7" s="460"/>
      <c r="AZ7" s="461"/>
    </row>
    <row r="8" spans="1:52" ht="12" customHeight="1">
      <c r="A8" s="161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60"/>
    </row>
    <row r="9" spans="1:52" ht="12" customHeight="1">
      <c r="A9" s="161"/>
      <c r="B9" s="154" t="s">
        <v>16</v>
      </c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60"/>
    </row>
    <row r="10" spans="1:52" ht="12" customHeight="1">
      <c r="A10" s="161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60"/>
    </row>
    <row r="11" spans="1:52" s="154" customFormat="1" ht="12" customHeight="1">
      <c r="A11" s="161"/>
      <c r="B11" s="154" t="s">
        <v>120</v>
      </c>
      <c r="AZ11" s="160"/>
    </row>
    <row r="12" spans="1:52" s="154" customFormat="1" ht="12" customHeight="1">
      <c r="A12" s="161"/>
      <c r="AZ12" s="160"/>
    </row>
    <row r="13" spans="1:52" s="48" customFormat="1" ht="12" customHeight="1">
      <c r="A13" s="162"/>
      <c r="B13" s="154" t="s">
        <v>121</v>
      </c>
      <c r="C13" s="125"/>
      <c r="D13" s="163"/>
      <c r="E13" s="125"/>
      <c r="F13" s="125"/>
      <c r="G13" s="125"/>
      <c r="H13" s="125"/>
      <c r="I13" s="125"/>
      <c r="J13" s="125"/>
      <c r="K13" s="125"/>
      <c r="L13" s="163"/>
      <c r="M13" s="125"/>
      <c r="N13" s="125"/>
      <c r="O13" s="125"/>
      <c r="P13" s="125"/>
      <c r="Q13" s="163"/>
      <c r="R13" s="125"/>
      <c r="S13" s="125"/>
      <c r="T13" s="163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64"/>
    </row>
    <row r="14" spans="1:52" s="48" customFormat="1" ht="12" customHeight="1">
      <c r="A14" s="162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64"/>
    </row>
    <row r="15" spans="1:52" s="154" customFormat="1" ht="12" customHeight="1">
      <c r="A15" s="161"/>
      <c r="B15" s="48"/>
      <c r="AZ15" s="160"/>
    </row>
    <row r="16" spans="1:52" s="154" customFormat="1" ht="12" customHeight="1">
      <c r="A16" s="161"/>
      <c r="AZ16" s="160"/>
    </row>
    <row r="17" spans="1:52" s="154" customFormat="1" ht="12" customHeight="1">
      <c r="A17" s="161"/>
      <c r="AZ17" s="160"/>
    </row>
    <row r="18" spans="1:52" s="154" customFormat="1" ht="12" customHeight="1">
      <c r="A18" s="161"/>
      <c r="AZ18" s="160"/>
    </row>
    <row r="19" spans="1:52" s="154" customFormat="1" ht="12" customHeight="1">
      <c r="A19" s="161"/>
      <c r="AZ19" s="160"/>
    </row>
    <row r="20" spans="1:52" s="154" customFormat="1" ht="12" customHeight="1">
      <c r="A20" s="161"/>
      <c r="AZ20" s="160"/>
    </row>
    <row r="21" spans="1:52" s="154" customFormat="1" ht="12" customHeight="1">
      <c r="A21" s="161"/>
      <c r="AZ21" s="160"/>
    </row>
    <row r="22" spans="1:52" s="154" customFormat="1" ht="12" customHeight="1">
      <c r="A22" s="161"/>
      <c r="AZ22" s="160"/>
    </row>
    <row r="23" spans="1:52" s="154" customFormat="1" ht="12" customHeight="1">
      <c r="A23" s="161"/>
      <c r="AZ23" s="160"/>
    </row>
    <row r="24" spans="1:52" s="154" customFormat="1">
      <c r="A24" s="161"/>
      <c r="AZ24" s="160"/>
    </row>
    <row r="25" spans="1:52" s="154" customFormat="1">
      <c r="A25" s="161"/>
      <c r="AZ25" s="160"/>
    </row>
    <row r="26" spans="1:52" s="154" customFormat="1">
      <c r="A26" s="161"/>
      <c r="AZ26" s="160"/>
    </row>
    <row r="27" spans="1:52" s="154" customFormat="1">
      <c r="A27" s="161"/>
      <c r="AZ27" s="160"/>
    </row>
    <row r="28" spans="1:52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65"/>
    </row>
    <row r="29" spans="1:52">
      <c r="A29" s="18"/>
      <c r="B29" s="166"/>
      <c r="C29" s="18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202"/>
      <c r="AA29" s="21"/>
      <c r="AB29" s="21"/>
      <c r="AC29" s="21"/>
      <c r="AD29" s="18"/>
      <c r="AE29" s="18"/>
      <c r="AF29" s="18"/>
      <c r="AG29" s="18"/>
      <c r="AH29" s="18"/>
      <c r="AI29" s="18"/>
      <c r="AJ29" s="18"/>
      <c r="AK29" s="18"/>
      <c r="AL29" s="202"/>
      <c r="AM29" s="202"/>
      <c r="AN29" s="202"/>
      <c r="AO29" s="22"/>
      <c r="AP29" s="22"/>
      <c r="AQ29" s="22"/>
      <c r="AR29" s="22"/>
      <c r="AS29" s="22"/>
      <c r="AT29" s="22"/>
      <c r="AU29" s="22"/>
      <c r="AV29" s="22"/>
      <c r="AW29" s="22"/>
    </row>
    <row r="30" spans="1:52">
      <c r="A30" s="18"/>
      <c r="B30" s="18"/>
      <c r="C30" s="18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202"/>
      <c r="AA30" s="21"/>
      <c r="AB30" s="21"/>
      <c r="AC30" s="21"/>
      <c r="AD30" s="18"/>
      <c r="AE30" s="18"/>
      <c r="AF30" s="18"/>
      <c r="AG30" s="18"/>
      <c r="AH30" s="18"/>
      <c r="AI30" s="18"/>
      <c r="AJ30" s="18"/>
      <c r="AK30" s="18"/>
      <c r="AL30" s="202"/>
      <c r="AM30" s="202"/>
      <c r="AN30" s="202"/>
      <c r="AO30" s="22"/>
      <c r="AP30" s="22"/>
      <c r="AQ30" s="22"/>
      <c r="AR30" s="22"/>
      <c r="AS30" s="22"/>
      <c r="AT30" s="22"/>
      <c r="AU30" s="22"/>
      <c r="AV30" s="22"/>
      <c r="AW30" s="22"/>
    </row>
    <row r="31" spans="1:52">
      <c r="A31" s="18"/>
      <c r="B31" s="18"/>
      <c r="C31" s="18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202"/>
      <c r="AA31" s="21"/>
      <c r="AB31" s="21"/>
      <c r="AC31" s="21"/>
      <c r="AD31" s="18"/>
      <c r="AE31" s="18"/>
      <c r="AF31" s="18"/>
      <c r="AG31" s="18"/>
      <c r="AH31" s="18"/>
      <c r="AI31" s="18"/>
      <c r="AJ31" s="18"/>
      <c r="AK31" s="18"/>
      <c r="AL31" s="202"/>
      <c r="AM31" s="202"/>
      <c r="AN31" s="202"/>
      <c r="AO31" s="22"/>
      <c r="AP31" s="22"/>
      <c r="AQ31" s="22"/>
      <c r="AR31" s="22"/>
      <c r="AS31" s="22"/>
      <c r="AT31" s="22"/>
      <c r="AU31" s="22"/>
      <c r="AV31" s="22"/>
      <c r="AW31" s="22"/>
    </row>
    <row r="32" spans="1:52">
      <c r="A32" s="18"/>
      <c r="B32" s="18"/>
      <c r="C32" s="18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202"/>
      <c r="AA32" s="21"/>
      <c r="AB32" s="21"/>
      <c r="AC32" s="21"/>
      <c r="AD32" s="18"/>
      <c r="AE32" s="18"/>
      <c r="AF32" s="18"/>
      <c r="AG32" s="18"/>
      <c r="AH32" s="18"/>
      <c r="AI32" s="18"/>
      <c r="AJ32" s="18"/>
      <c r="AK32" s="18"/>
      <c r="AL32" s="202"/>
      <c r="AM32" s="202"/>
      <c r="AN32" s="202"/>
      <c r="AO32" s="22"/>
      <c r="AP32" s="22"/>
      <c r="AQ32" s="22"/>
      <c r="AR32" s="22"/>
      <c r="AS32" s="22"/>
      <c r="AT32" s="22"/>
      <c r="AU32" s="22"/>
      <c r="AV32" s="22"/>
      <c r="AW32" s="22"/>
    </row>
    <row r="33" spans="1:49">
      <c r="A33" s="18"/>
      <c r="B33" s="18"/>
      <c r="C33" s="18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202"/>
      <c r="AA33" s="21"/>
      <c r="AB33" s="21"/>
      <c r="AC33" s="21"/>
      <c r="AD33" s="18"/>
      <c r="AE33" s="18"/>
      <c r="AF33" s="18"/>
      <c r="AG33" s="18"/>
      <c r="AH33" s="18"/>
      <c r="AI33" s="18"/>
      <c r="AJ33" s="18"/>
      <c r="AK33" s="18"/>
      <c r="AL33" s="202"/>
      <c r="AM33" s="202"/>
      <c r="AN33" s="202"/>
      <c r="AO33" s="22"/>
      <c r="AP33" s="22"/>
      <c r="AQ33" s="22"/>
      <c r="AR33" s="22"/>
      <c r="AS33" s="22"/>
      <c r="AT33" s="22"/>
      <c r="AU33" s="22"/>
      <c r="AV33" s="22"/>
      <c r="AW33" s="22"/>
    </row>
    <row r="34" spans="1:49">
      <c r="A34" s="18"/>
      <c r="B34" s="18"/>
      <c r="C34" s="18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202"/>
      <c r="AA34" s="21"/>
      <c r="AB34" s="21"/>
      <c r="AC34" s="21"/>
      <c r="AD34" s="18"/>
      <c r="AE34" s="18"/>
      <c r="AF34" s="18"/>
      <c r="AG34" s="18"/>
      <c r="AH34" s="18"/>
      <c r="AI34" s="18"/>
      <c r="AJ34" s="18"/>
      <c r="AK34" s="18"/>
      <c r="AL34" s="202"/>
      <c r="AM34" s="202"/>
      <c r="AN34" s="202"/>
      <c r="AO34" s="22"/>
      <c r="AP34" s="22"/>
      <c r="AQ34" s="22"/>
      <c r="AR34" s="22"/>
      <c r="AS34" s="22"/>
      <c r="AT34" s="22"/>
      <c r="AU34" s="22"/>
      <c r="AV34" s="22"/>
      <c r="AW34" s="22"/>
    </row>
    <row r="35" spans="1:49">
      <c r="A35" s="18"/>
      <c r="B35" s="18"/>
      <c r="C35" s="18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202"/>
      <c r="AA35" s="21"/>
      <c r="AB35" s="21"/>
      <c r="AC35" s="21"/>
      <c r="AD35" s="18"/>
      <c r="AE35" s="18"/>
      <c r="AF35" s="18"/>
      <c r="AG35" s="18"/>
      <c r="AH35" s="18"/>
      <c r="AI35" s="18"/>
      <c r="AJ35" s="18"/>
      <c r="AK35" s="18"/>
      <c r="AL35" s="202"/>
      <c r="AM35" s="202"/>
      <c r="AN35" s="202"/>
      <c r="AO35" s="22"/>
      <c r="AP35" s="22"/>
      <c r="AQ35" s="22"/>
      <c r="AR35" s="22"/>
      <c r="AS35" s="22"/>
      <c r="AT35" s="22"/>
      <c r="AU35" s="22"/>
      <c r="AV35" s="22"/>
      <c r="AW35" s="22"/>
    </row>
    <row r="36" spans="1:49">
      <c r="A36" s="18"/>
      <c r="B36" s="18"/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2"/>
      <c r="AA36" s="21"/>
      <c r="AB36" s="21"/>
      <c r="AC36" s="21"/>
      <c r="AD36" s="18"/>
      <c r="AE36" s="18"/>
      <c r="AF36" s="18"/>
      <c r="AG36" s="18"/>
      <c r="AH36" s="18"/>
      <c r="AI36" s="18"/>
      <c r="AJ36" s="18"/>
      <c r="AK36" s="18"/>
      <c r="AL36" s="202"/>
      <c r="AM36" s="202"/>
      <c r="AN36" s="202"/>
      <c r="AO36" s="22"/>
      <c r="AP36" s="22"/>
      <c r="AQ36" s="22"/>
      <c r="AR36" s="22"/>
      <c r="AS36" s="22"/>
      <c r="AT36" s="22"/>
      <c r="AU36" s="22"/>
      <c r="AV36" s="22"/>
      <c r="AW36" s="22"/>
    </row>
    <row r="37" spans="1:49">
      <c r="A37" s="18"/>
      <c r="B37" s="18"/>
      <c r="C37" s="18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02"/>
      <c r="AA37" s="21"/>
      <c r="AB37" s="21"/>
      <c r="AC37" s="21"/>
      <c r="AD37" s="18"/>
      <c r="AE37" s="18"/>
      <c r="AF37" s="18"/>
      <c r="AG37" s="18"/>
      <c r="AH37" s="18"/>
      <c r="AI37" s="18"/>
      <c r="AJ37" s="18"/>
      <c r="AK37" s="18"/>
      <c r="AL37" s="202"/>
      <c r="AM37" s="202"/>
      <c r="AN37" s="202"/>
      <c r="AO37" s="22"/>
      <c r="AP37" s="22"/>
      <c r="AQ37" s="22"/>
      <c r="AR37" s="22"/>
      <c r="AS37" s="22"/>
      <c r="AT37" s="22"/>
      <c r="AU37" s="22"/>
      <c r="AV37" s="22"/>
      <c r="AW37" s="22"/>
    </row>
    <row r="38" spans="1:49">
      <c r="A38" s="18"/>
      <c r="B38" s="18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02"/>
      <c r="AA38" s="21"/>
      <c r="AB38" s="21"/>
      <c r="AC38" s="21"/>
      <c r="AD38" s="18"/>
      <c r="AE38" s="18"/>
      <c r="AF38" s="18"/>
      <c r="AG38" s="18"/>
      <c r="AH38" s="18"/>
      <c r="AI38" s="18"/>
      <c r="AJ38" s="18"/>
      <c r="AK38" s="18"/>
      <c r="AL38" s="202"/>
      <c r="AM38" s="202"/>
      <c r="AN38" s="202"/>
      <c r="AO38" s="22"/>
      <c r="AP38" s="22"/>
      <c r="AQ38" s="22"/>
      <c r="AR38" s="22"/>
      <c r="AS38" s="22"/>
      <c r="AT38" s="22"/>
      <c r="AU38" s="22"/>
      <c r="AV38" s="22"/>
      <c r="AW38" s="22"/>
    </row>
    <row r="39" spans="1:49">
      <c r="A39" s="18"/>
      <c r="B39" s="18"/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2"/>
      <c r="AA39" s="21"/>
      <c r="AB39" s="21"/>
      <c r="AC39" s="21"/>
      <c r="AD39" s="18"/>
      <c r="AE39" s="18"/>
      <c r="AF39" s="18"/>
      <c r="AG39" s="18"/>
      <c r="AH39" s="18"/>
      <c r="AI39" s="18"/>
      <c r="AJ39" s="18"/>
      <c r="AK39" s="18"/>
      <c r="AL39" s="202"/>
      <c r="AM39" s="202"/>
      <c r="AN39" s="202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1:49">
      <c r="A40" s="18"/>
      <c r="B40" s="18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02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02"/>
      <c r="AM40" s="202"/>
      <c r="AN40" s="202"/>
      <c r="AO40" s="22"/>
      <c r="AP40" s="22"/>
      <c r="AQ40" s="22"/>
      <c r="AR40" s="22"/>
      <c r="AS40" s="22"/>
      <c r="AT40" s="22"/>
      <c r="AU40" s="22"/>
      <c r="AV40" s="22"/>
      <c r="AW40" s="17"/>
    </row>
    <row r="41" spans="1:49">
      <c r="A41" s="18"/>
      <c r="B41" s="18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02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02"/>
      <c r="AM41" s="202"/>
      <c r="AN41" s="202"/>
      <c r="AO41" s="22"/>
      <c r="AP41" s="22"/>
      <c r="AQ41" s="22"/>
      <c r="AR41" s="22"/>
      <c r="AS41" s="22"/>
      <c r="AT41" s="22"/>
      <c r="AU41" s="22"/>
      <c r="AV41" s="22"/>
      <c r="AW41" s="17"/>
    </row>
    <row r="42" spans="1:49">
      <c r="A42" s="18"/>
      <c r="B42" s="18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02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02"/>
      <c r="AM42" s="202"/>
      <c r="AN42" s="202"/>
      <c r="AO42" s="22"/>
      <c r="AP42" s="22"/>
      <c r="AQ42" s="22"/>
      <c r="AR42" s="22"/>
      <c r="AS42" s="22"/>
      <c r="AT42" s="22"/>
      <c r="AU42" s="22"/>
      <c r="AV42" s="22"/>
      <c r="AW42" s="17"/>
    </row>
    <row r="43" spans="1:49">
      <c r="A43" s="18"/>
      <c r="B43" s="18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02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02"/>
      <c r="AM43" s="202"/>
      <c r="AN43" s="202"/>
      <c r="AO43" s="22"/>
      <c r="AP43" s="22"/>
      <c r="AQ43" s="22"/>
      <c r="AR43" s="22"/>
      <c r="AS43" s="22"/>
      <c r="AT43" s="22"/>
      <c r="AU43" s="22"/>
      <c r="AV43" s="22"/>
      <c r="AW43" s="17"/>
    </row>
    <row r="44" spans="1:49">
      <c r="A44" s="18"/>
      <c r="B44" s="18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02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02"/>
      <c r="AM44" s="202"/>
      <c r="AN44" s="202"/>
      <c r="AO44" s="22"/>
      <c r="AP44" s="22"/>
      <c r="AQ44" s="22"/>
      <c r="AR44" s="22"/>
      <c r="AS44" s="22"/>
      <c r="AT44" s="22"/>
      <c r="AU44" s="22"/>
      <c r="AV44" s="22"/>
      <c r="AW44" s="17"/>
    </row>
    <row r="45" spans="1:49">
      <c r="A45" s="18"/>
      <c r="B45" s="18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202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02"/>
      <c r="AM45" s="202"/>
      <c r="AN45" s="202"/>
      <c r="AO45" s="22"/>
      <c r="AP45" s="22"/>
      <c r="AQ45" s="22"/>
      <c r="AR45" s="22"/>
      <c r="AS45" s="22"/>
      <c r="AT45" s="22"/>
      <c r="AU45" s="22"/>
      <c r="AV45" s="22"/>
      <c r="AW45" s="17"/>
    </row>
    <row r="46" spans="1:49">
      <c r="A46" s="18"/>
      <c r="B46" s="18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202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02"/>
      <c r="AM46" s="202"/>
      <c r="AN46" s="202"/>
      <c r="AO46" s="22"/>
      <c r="AP46" s="22"/>
      <c r="AQ46" s="22"/>
      <c r="AR46" s="22"/>
      <c r="AS46" s="22"/>
      <c r="AT46" s="22"/>
      <c r="AU46" s="22"/>
      <c r="AV46" s="22"/>
      <c r="AW46" s="17"/>
    </row>
    <row r="47" spans="1:49">
      <c r="A47" s="18"/>
      <c r="B47" s="18"/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2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02"/>
      <c r="AM47" s="202"/>
      <c r="AN47" s="202"/>
      <c r="AO47" s="22"/>
      <c r="AP47" s="22"/>
      <c r="AQ47" s="22"/>
      <c r="AR47" s="22"/>
      <c r="AS47" s="22"/>
      <c r="AT47" s="22"/>
      <c r="AU47" s="22"/>
      <c r="AV47" s="22"/>
      <c r="AW47" s="17"/>
    </row>
    <row r="48" spans="1:49">
      <c r="A48" s="18"/>
      <c r="B48" s="18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202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02"/>
      <c r="AM48" s="202"/>
      <c r="AN48" s="202"/>
      <c r="AO48" s="22"/>
      <c r="AP48" s="22"/>
      <c r="AQ48" s="22"/>
      <c r="AR48" s="22"/>
      <c r="AS48" s="22"/>
      <c r="AT48" s="22"/>
      <c r="AU48" s="22"/>
      <c r="AV48" s="22"/>
      <c r="AW48" s="17"/>
    </row>
    <row r="49" spans="1:49">
      <c r="A49" s="18"/>
      <c r="B49" s="18"/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02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02"/>
      <c r="AM49" s="202"/>
      <c r="AN49" s="202"/>
      <c r="AO49" s="22"/>
      <c r="AP49" s="22"/>
      <c r="AQ49" s="22"/>
      <c r="AR49" s="22"/>
      <c r="AS49" s="22"/>
      <c r="AT49" s="22"/>
      <c r="AU49" s="22"/>
      <c r="AV49" s="22"/>
      <c r="AW49" s="17"/>
    </row>
    <row r="50" spans="1:49">
      <c r="A50" s="18"/>
      <c r="B50" s="18"/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02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02"/>
      <c r="AM50" s="202"/>
      <c r="AN50" s="202"/>
      <c r="AO50" s="22"/>
      <c r="AP50" s="22"/>
      <c r="AQ50" s="22"/>
      <c r="AR50" s="22"/>
      <c r="AS50" s="22"/>
      <c r="AT50" s="22"/>
      <c r="AU50" s="22"/>
      <c r="AV50" s="22"/>
      <c r="AW50" s="17"/>
    </row>
    <row r="51" spans="1:49">
      <c r="A51" s="18"/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202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02"/>
      <c r="AM51" s="202"/>
      <c r="AN51" s="202"/>
      <c r="AO51" s="22"/>
      <c r="AP51" s="22"/>
      <c r="AQ51" s="22"/>
      <c r="AR51" s="22"/>
      <c r="AS51" s="22"/>
      <c r="AT51" s="22"/>
      <c r="AU51" s="22"/>
      <c r="AV51" s="22"/>
      <c r="AW51" s="17"/>
    </row>
    <row r="52" spans="1:49">
      <c r="A52" s="18"/>
      <c r="B52" s="18"/>
      <c r="C52" s="1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02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02"/>
      <c r="AM52" s="202"/>
      <c r="AN52" s="202"/>
      <c r="AO52" s="22"/>
      <c r="AP52" s="22"/>
      <c r="AQ52" s="22"/>
      <c r="AR52" s="22"/>
      <c r="AS52" s="22"/>
      <c r="AT52" s="22"/>
      <c r="AU52" s="22"/>
      <c r="AV52" s="22"/>
      <c r="AW52" s="17"/>
    </row>
    <row r="53" spans="1:49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</row>
    <row r="54" spans="1:49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</row>
    <row r="55" spans="1:49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</row>
    <row r="56" spans="1:49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</row>
    <row r="57" spans="1:49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</row>
    <row r="58" spans="1:49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</row>
    <row r="59" spans="1:4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</row>
    <row r="60" spans="1:49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</row>
    <row r="61" spans="1:49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</sheetData>
  <customSheetViews>
    <customSheetView guid="{A6ABB528-5CA4-4D4C-8A92-065340906B37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r:id="rId1"/>
      <headerFooter alignWithMargins="0">
        <oddFooter>&amp;C&amp;"ＭＳ ゴシック,標準"&amp;10目次-&amp;P-1
&amp;R&amp;"ＭＳ ゴシック,標準"&amp;6&amp;F/&amp;A</oddFooter>
      </headerFooter>
    </customSheetView>
    <customSheetView guid="{8E288406-DA20-4489-A100-6BF008027C94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r:id="rId2"/>
      <headerFooter alignWithMargins="0">
        <oddFooter>&amp;C&amp;"ＭＳ ゴシック,標準"&amp;10目次-&amp;P-1
&amp;R&amp;"ＭＳ ゴシック,標準"&amp;6&amp;F/&amp;A</oddFooter>
      </headerFooter>
    </customSheetView>
  </customSheetViews>
  <mergeCells count="2">
    <mergeCell ref="A5:AZ7"/>
    <mergeCell ref="C1:P2"/>
  </mergeCells>
  <phoneticPr fontId="2"/>
  <pageMargins left="0.59055118110236227" right="0.59055118110236227" top="0.78740157480314965" bottom="0.59055118110236227" header="0.51181102362204722" footer="0.31496062992125984"/>
  <pageSetup paperSize="9" fitToHeight="3" orientation="landscape" r:id="rId3"/>
  <headerFooter alignWithMargins="0">
    <oddFooter>&amp;C&amp;"ＭＳ ゴシック,標準"&amp;10目次-&amp;P-1
&amp;R&amp;"ＭＳ ゴシック,標準"&amp;6&amp;F/&amp;A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Z36"/>
  <sheetViews>
    <sheetView showGridLines="0" view="pageBreakPreview" zoomScaleNormal="75" zoomScaleSheetLayoutView="100" workbookViewId="0">
      <selection activeCell="AF2" sqref="AF2:AK2"/>
    </sheetView>
  </sheetViews>
  <sheetFormatPr defaultColWidth="2.625" defaultRowHeight="12"/>
  <cols>
    <col min="1" max="16384" width="2.625" style="135"/>
  </cols>
  <sheetData>
    <row r="1" spans="1:52" ht="14.25" customHeight="1">
      <c r="A1" s="144" t="s">
        <v>122</v>
      </c>
      <c r="B1" s="145"/>
      <c r="C1" s="450" t="s">
        <v>100</v>
      </c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  <c r="Q1" s="452" t="s">
        <v>123</v>
      </c>
      <c r="R1" s="453"/>
      <c r="S1" s="441" t="s">
        <v>59</v>
      </c>
      <c r="T1" s="439"/>
      <c r="U1" s="439"/>
      <c r="V1" s="439"/>
      <c r="W1" s="439"/>
      <c r="X1" s="442"/>
      <c r="Y1" s="443">
        <f>目次!Y1</f>
        <v>45044</v>
      </c>
      <c r="Z1" s="444"/>
      <c r="AA1" s="444"/>
      <c r="AB1" s="444"/>
      <c r="AC1" s="444"/>
      <c r="AD1" s="444"/>
      <c r="AE1" s="445"/>
      <c r="AF1" s="446" t="s">
        <v>60</v>
      </c>
      <c r="AG1" s="447"/>
      <c r="AH1" s="447"/>
      <c r="AI1" s="447"/>
      <c r="AJ1" s="447"/>
      <c r="AK1" s="448"/>
      <c r="AL1" s="449" t="str">
        <f>目次!AL1</f>
        <v>徐</v>
      </c>
      <c r="AM1" s="439"/>
      <c r="AN1" s="439"/>
      <c r="AO1" s="439"/>
      <c r="AP1" s="439"/>
      <c r="AQ1" s="439" t="str">
        <f>目次!AQ1</f>
        <v>JNW</v>
      </c>
      <c r="AR1" s="440"/>
      <c r="AS1" s="441" t="s">
        <v>61</v>
      </c>
      <c r="AT1" s="439"/>
      <c r="AU1" s="439"/>
      <c r="AV1" s="442"/>
      <c r="AW1" s="443">
        <f>目次!AW1</f>
        <v>45027</v>
      </c>
      <c r="AX1" s="444"/>
      <c r="AY1" s="444"/>
      <c r="AZ1" s="445"/>
    </row>
    <row r="2" spans="1:52" ht="14.25" customHeight="1">
      <c r="A2" s="146"/>
      <c r="B2" s="147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Q2" s="454">
        <f>目次!Q2</f>
        <v>1</v>
      </c>
      <c r="R2" s="455"/>
      <c r="S2" s="446" t="s">
        <v>62</v>
      </c>
      <c r="T2" s="447"/>
      <c r="U2" s="447"/>
      <c r="V2" s="447"/>
      <c r="W2" s="447"/>
      <c r="X2" s="448"/>
      <c r="Y2" s="449" t="str">
        <f>目次!Y2</f>
        <v>福島　副部長</v>
      </c>
      <c r="Z2" s="439"/>
      <c r="AA2" s="439"/>
      <c r="AB2" s="439"/>
      <c r="AC2" s="439"/>
      <c r="AD2" s="439" t="str">
        <f>目次!AD2</f>
        <v>DIR</v>
      </c>
      <c r="AE2" s="440"/>
      <c r="AF2" s="446" t="s">
        <v>63</v>
      </c>
      <c r="AG2" s="447"/>
      <c r="AH2" s="447"/>
      <c r="AI2" s="447"/>
      <c r="AJ2" s="447"/>
      <c r="AK2" s="448"/>
      <c r="AL2" s="449" t="str">
        <f>目次!AL2</f>
        <v>徐</v>
      </c>
      <c r="AM2" s="439"/>
      <c r="AN2" s="439"/>
      <c r="AO2" s="439"/>
      <c r="AP2" s="439"/>
      <c r="AQ2" s="439" t="str">
        <f>目次!AQ2</f>
        <v>JNW</v>
      </c>
      <c r="AR2" s="440"/>
      <c r="AS2" s="441" t="s">
        <v>64</v>
      </c>
      <c r="AT2" s="439"/>
      <c r="AU2" s="439"/>
      <c r="AV2" s="442"/>
      <c r="AW2" s="443">
        <f>目次!AW2</f>
        <v>45027</v>
      </c>
      <c r="AX2" s="444"/>
      <c r="AY2" s="444"/>
      <c r="AZ2" s="445"/>
    </row>
    <row r="3" spans="1:52" ht="14.25" customHeight="1">
      <c r="A3" s="137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</row>
    <row r="4" spans="1:52" ht="26.25" customHeight="1">
      <c r="A4" s="136" t="s">
        <v>124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</row>
    <row r="5" spans="1:52" ht="12" customHeight="1">
      <c r="A5" s="139"/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</row>
    <row r="6" spans="1:52" ht="12" customHeight="1">
      <c r="A6" s="379" t="s">
        <v>66</v>
      </c>
      <c r="B6" s="333"/>
      <c r="C6" s="462" t="s">
        <v>73</v>
      </c>
      <c r="D6" s="463"/>
      <c r="E6" s="463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63"/>
      <c r="Q6" s="463"/>
      <c r="R6" s="463"/>
      <c r="S6" s="463"/>
      <c r="T6" s="463"/>
      <c r="U6" s="463"/>
      <c r="V6" s="463"/>
      <c r="W6" s="463"/>
      <c r="X6" s="463"/>
      <c r="Y6" s="463"/>
      <c r="Z6" s="463"/>
      <c r="AA6" s="463"/>
      <c r="AB6" s="463"/>
      <c r="AC6" s="463"/>
      <c r="AD6" s="463"/>
      <c r="AE6" s="463"/>
      <c r="AF6" s="463"/>
      <c r="AG6" s="463"/>
      <c r="AH6" s="463"/>
      <c r="AI6" s="463"/>
      <c r="AJ6" s="463"/>
      <c r="AK6" s="463"/>
      <c r="AL6" s="463"/>
      <c r="AM6" s="463"/>
      <c r="AN6" s="463"/>
      <c r="AO6" s="463"/>
      <c r="AP6" s="463"/>
      <c r="AQ6" s="463"/>
      <c r="AR6" s="463"/>
      <c r="AS6" s="463"/>
      <c r="AT6" s="463"/>
      <c r="AU6" s="463"/>
      <c r="AV6" s="463"/>
      <c r="AW6" s="463"/>
      <c r="AX6" s="463"/>
      <c r="AY6" s="463"/>
      <c r="AZ6" s="464"/>
    </row>
    <row r="7" spans="1:52" ht="12" customHeight="1">
      <c r="A7" s="336"/>
      <c r="B7" s="337"/>
      <c r="C7" s="465"/>
      <c r="D7" s="466"/>
      <c r="E7" s="466"/>
      <c r="F7" s="466"/>
      <c r="G7" s="466"/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466"/>
      <c r="U7" s="466"/>
      <c r="V7" s="466"/>
      <c r="W7" s="466"/>
      <c r="X7" s="466"/>
      <c r="Y7" s="466"/>
      <c r="Z7" s="466"/>
      <c r="AA7" s="466"/>
      <c r="AB7" s="466"/>
      <c r="AC7" s="466"/>
      <c r="AD7" s="466"/>
      <c r="AE7" s="466"/>
      <c r="AF7" s="466"/>
      <c r="AG7" s="466"/>
      <c r="AH7" s="466"/>
      <c r="AI7" s="466"/>
      <c r="AJ7" s="466"/>
      <c r="AK7" s="466"/>
      <c r="AL7" s="466"/>
      <c r="AM7" s="466"/>
      <c r="AN7" s="466"/>
      <c r="AO7" s="466"/>
      <c r="AP7" s="466"/>
      <c r="AQ7" s="466"/>
      <c r="AR7" s="466"/>
      <c r="AS7" s="466"/>
      <c r="AT7" s="466"/>
      <c r="AU7" s="466"/>
      <c r="AV7" s="466"/>
      <c r="AW7" s="466"/>
      <c r="AX7" s="466"/>
      <c r="AY7" s="466"/>
      <c r="AZ7" s="467"/>
    </row>
    <row r="8" spans="1:52" ht="13.5" customHeight="1">
      <c r="A8" s="332"/>
      <c r="B8" s="333"/>
      <c r="C8" s="167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55"/>
    </row>
    <row r="9" spans="1:52" ht="13.5" customHeight="1">
      <c r="A9" s="372" t="s">
        <v>72</v>
      </c>
      <c r="B9" s="335"/>
      <c r="C9" s="161"/>
      <c r="D9" s="154" t="s">
        <v>125</v>
      </c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60"/>
    </row>
    <row r="10" spans="1:52" ht="13.5" customHeight="1">
      <c r="A10" s="374"/>
      <c r="B10" s="337"/>
      <c r="C10" s="146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68"/>
      <c r="U10" s="168"/>
      <c r="V10" s="168"/>
      <c r="W10" s="168"/>
      <c r="X10" s="169"/>
      <c r="Y10" s="168"/>
      <c r="Z10" s="168"/>
      <c r="AA10" s="147"/>
      <c r="AB10" s="147"/>
      <c r="AC10" s="147"/>
      <c r="AD10" s="147"/>
      <c r="AE10" s="147"/>
      <c r="AF10" s="147"/>
      <c r="AG10" s="147"/>
      <c r="AH10" s="147"/>
      <c r="AI10" s="169"/>
      <c r="AJ10" s="168"/>
      <c r="AK10" s="168"/>
      <c r="AL10" s="147"/>
      <c r="AM10" s="147"/>
      <c r="AN10" s="147"/>
      <c r="AO10" s="147"/>
      <c r="AP10" s="147"/>
      <c r="AQ10" s="147"/>
      <c r="AR10" s="147"/>
      <c r="AS10" s="147"/>
      <c r="AT10" s="147"/>
      <c r="AU10" s="147"/>
      <c r="AV10" s="147"/>
      <c r="AW10" s="147"/>
      <c r="AX10" s="147"/>
      <c r="AY10" s="147"/>
      <c r="AZ10" s="165"/>
    </row>
    <row r="11" spans="1:52" ht="13.5" customHeight="1">
      <c r="A11" s="372"/>
      <c r="B11" s="335"/>
      <c r="C11" s="170"/>
      <c r="D11" s="171"/>
      <c r="E11" s="171"/>
      <c r="F11" s="171"/>
      <c r="G11" s="171"/>
      <c r="H11" s="171"/>
      <c r="I11" s="171"/>
      <c r="J11" s="171"/>
      <c r="K11" s="171"/>
      <c r="L11" s="171"/>
      <c r="M11" s="171"/>
      <c r="N11" s="171"/>
      <c r="O11" s="171"/>
      <c r="P11" s="171"/>
      <c r="Q11" s="171"/>
      <c r="R11" s="171"/>
      <c r="S11" s="171"/>
      <c r="T11" s="172"/>
      <c r="U11" s="172"/>
      <c r="V11" s="172"/>
      <c r="W11" s="171"/>
      <c r="X11" s="171"/>
      <c r="Y11" s="172"/>
      <c r="Z11" s="172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3"/>
    </row>
    <row r="12" spans="1:52" ht="13.5" customHeight="1">
      <c r="A12" s="372"/>
      <c r="B12" s="335"/>
      <c r="C12" s="170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2"/>
      <c r="U12" s="172"/>
      <c r="V12" s="172"/>
      <c r="W12" s="171"/>
      <c r="X12" s="171"/>
      <c r="Y12" s="172"/>
      <c r="Z12" s="172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1"/>
      <c r="AQ12" s="171"/>
      <c r="AR12" s="171"/>
      <c r="AS12" s="171"/>
      <c r="AT12" s="171"/>
      <c r="AU12" s="171"/>
      <c r="AV12" s="171"/>
      <c r="AW12" s="171"/>
      <c r="AX12" s="171"/>
      <c r="AY12" s="171"/>
      <c r="AZ12" s="173"/>
    </row>
    <row r="13" spans="1:52" ht="13.5" customHeight="1">
      <c r="A13" s="372"/>
      <c r="B13" s="335"/>
      <c r="C13" s="170"/>
      <c r="D13" s="154"/>
      <c r="E13" s="171"/>
      <c r="F13" s="171"/>
      <c r="G13" s="171"/>
      <c r="H13" s="171"/>
      <c r="I13" s="171"/>
      <c r="J13" s="171"/>
      <c r="K13" s="171"/>
      <c r="L13" s="171"/>
      <c r="M13" s="171"/>
      <c r="N13" s="171"/>
      <c r="O13" s="171"/>
      <c r="P13" s="171"/>
      <c r="Q13" s="171"/>
      <c r="R13" s="171"/>
      <c r="S13" s="171"/>
      <c r="T13" s="172"/>
      <c r="U13" s="172"/>
      <c r="V13" s="172"/>
      <c r="W13" s="171"/>
      <c r="X13" s="171"/>
      <c r="Y13" s="172"/>
      <c r="Z13" s="172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171"/>
      <c r="AN13" s="171"/>
      <c r="AO13" s="171"/>
      <c r="AP13" s="171"/>
      <c r="AQ13" s="171"/>
      <c r="AR13" s="171"/>
      <c r="AS13" s="171"/>
      <c r="AT13" s="171"/>
      <c r="AU13" s="171"/>
      <c r="AV13" s="171"/>
      <c r="AW13" s="171"/>
      <c r="AX13" s="171"/>
      <c r="AY13" s="171"/>
      <c r="AZ13" s="173"/>
    </row>
    <row r="14" spans="1:52" ht="13.5" customHeight="1">
      <c r="A14" s="372"/>
      <c r="B14" s="335"/>
      <c r="C14" s="170"/>
      <c r="D14" s="171"/>
      <c r="E14" s="171"/>
      <c r="F14" s="171"/>
      <c r="G14" s="171"/>
      <c r="H14" s="171"/>
      <c r="I14" s="171"/>
      <c r="J14" s="171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2"/>
      <c r="Z14" s="171"/>
      <c r="AA14" s="171"/>
      <c r="AB14" s="171"/>
      <c r="AC14" s="171"/>
      <c r="AD14" s="171"/>
      <c r="AE14" s="171"/>
      <c r="AF14" s="171"/>
      <c r="AG14" s="171"/>
      <c r="AH14" s="171"/>
      <c r="AI14" s="172"/>
      <c r="AJ14" s="171"/>
      <c r="AK14" s="171"/>
      <c r="AL14" s="171"/>
      <c r="AM14" s="171"/>
      <c r="AN14" s="171"/>
      <c r="AO14" s="171"/>
      <c r="AP14" s="171"/>
      <c r="AQ14" s="171"/>
      <c r="AR14" s="171"/>
      <c r="AS14" s="171"/>
      <c r="AT14" s="171"/>
      <c r="AU14" s="171"/>
      <c r="AV14" s="171"/>
      <c r="AW14" s="171"/>
      <c r="AX14" s="171"/>
      <c r="AY14" s="171"/>
      <c r="AZ14" s="173"/>
    </row>
    <row r="15" spans="1:52" ht="13.5" customHeight="1">
      <c r="A15" s="372"/>
      <c r="B15" s="335"/>
      <c r="C15" s="171"/>
      <c r="D15" s="171"/>
      <c r="E15" s="171"/>
      <c r="F15" s="171"/>
      <c r="G15" s="171"/>
      <c r="H15" s="171"/>
      <c r="I15" s="171"/>
      <c r="J15" s="171"/>
      <c r="K15" s="171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2"/>
      <c r="Z15" s="171"/>
      <c r="AA15" s="171"/>
      <c r="AB15" s="171"/>
      <c r="AC15" s="171"/>
      <c r="AD15" s="171"/>
      <c r="AE15" s="171"/>
      <c r="AF15" s="171"/>
      <c r="AG15" s="171"/>
      <c r="AH15" s="171"/>
      <c r="AI15" s="172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3"/>
    </row>
    <row r="16" spans="1:52" ht="13.5" customHeight="1">
      <c r="A16" s="372"/>
      <c r="B16" s="335"/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  <c r="O16" s="171"/>
      <c r="P16" s="171"/>
      <c r="Q16" s="171"/>
      <c r="R16" s="171"/>
      <c r="S16" s="171"/>
      <c r="T16" s="171"/>
      <c r="U16" s="171"/>
      <c r="V16" s="171"/>
      <c r="W16" s="171"/>
      <c r="X16" s="171"/>
      <c r="Y16" s="172"/>
      <c r="Z16" s="171"/>
      <c r="AA16" s="171"/>
      <c r="AB16" s="171"/>
      <c r="AC16" s="171"/>
      <c r="AD16" s="171"/>
      <c r="AE16" s="171"/>
      <c r="AF16" s="171"/>
      <c r="AG16" s="171"/>
      <c r="AH16" s="171"/>
      <c r="AI16" s="172"/>
      <c r="AJ16" s="171"/>
      <c r="AK16" s="171"/>
      <c r="AL16" s="171"/>
      <c r="AM16" s="171"/>
      <c r="AN16" s="171"/>
      <c r="AO16" s="171"/>
      <c r="AP16" s="171"/>
      <c r="AQ16" s="171"/>
      <c r="AR16" s="171"/>
      <c r="AS16" s="171"/>
      <c r="AT16" s="171"/>
      <c r="AU16" s="171"/>
      <c r="AV16" s="171"/>
      <c r="AW16" s="171"/>
      <c r="AX16" s="171"/>
      <c r="AY16" s="171"/>
      <c r="AZ16" s="173"/>
    </row>
    <row r="17" spans="1:52" ht="13.5" customHeight="1">
      <c r="A17" s="372"/>
      <c r="B17" s="335"/>
      <c r="C17" s="171"/>
      <c r="D17" s="154"/>
      <c r="E17" s="174"/>
      <c r="F17" s="171"/>
      <c r="G17" s="171"/>
      <c r="H17" s="171"/>
      <c r="I17" s="171"/>
      <c r="J17" s="171"/>
      <c r="K17" s="171"/>
      <c r="L17" s="171"/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171"/>
      <c r="AN17" s="171"/>
      <c r="AO17" s="171"/>
      <c r="AP17" s="171"/>
      <c r="AQ17" s="171"/>
      <c r="AR17" s="171"/>
      <c r="AS17" s="171"/>
      <c r="AT17" s="171"/>
      <c r="AU17" s="171"/>
      <c r="AV17" s="171"/>
      <c r="AW17" s="171"/>
      <c r="AX17" s="171"/>
      <c r="AY17" s="171"/>
      <c r="AZ17" s="173"/>
    </row>
    <row r="18" spans="1:52" ht="13.5" customHeight="1">
      <c r="A18" s="372"/>
      <c r="B18" s="335"/>
      <c r="C18" s="171"/>
      <c r="D18" s="154"/>
      <c r="E18" s="174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4"/>
      <c r="R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171"/>
      <c r="AI18" s="171"/>
      <c r="AJ18" s="171"/>
      <c r="AK18" s="171"/>
      <c r="AL18" s="171"/>
      <c r="AM18" s="171"/>
      <c r="AN18" s="171"/>
      <c r="AO18" s="171"/>
      <c r="AP18" s="171"/>
      <c r="AQ18" s="171"/>
      <c r="AR18" s="171"/>
      <c r="AS18" s="171"/>
      <c r="AT18" s="171"/>
      <c r="AU18" s="171"/>
      <c r="AV18" s="171"/>
      <c r="AW18" s="171"/>
      <c r="AX18" s="171"/>
      <c r="AY18" s="171"/>
      <c r="AZ18" s="173"/>
    </row>
    <row r="19" spans="1:52" ht="13.5" customHeight="1">
      <c r="A19" s="372"/>
      <c r="B19" s="335"/>
      <c r="C19" s="171"/>
      <c r="E19" s="174"/>
      <c r="F19" s="171"/>
      <c r="G19" s="171"/>
      <c r="H19" s="171"/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/>
      <c r="AM19" s="171"/>
      <c r="AN19" s="171"/>
      <c r="AO19" s="171"/>
      <c r="AP19" s="171"/>
      <c r="AQ19" s="171"/>
      <c r="AR19" s="171"/>
      <c r="AS19" s="171"/>
      <c r="AT19" s="171"/>
      <c r="AU19" s="171"/>
      <c r="AV19" s="171"/>
      <c r="AW19" s="171"/>
      <c r="AX19" s="171"/>
      <c r="AY19" s="171"/>
      <c r="AZ19" s="173"/>
    </row>
    <row r="20" spans="1:52" ht="13.5" customHeight="1">
      <c r="A20" s="372"/>
      <c r="B20" s="335"/>
      <c r="C20" s="171"/>
      <c r="E20" s="154"/>
      <c r="F20" s="174"/>
      <c r="G20" s="171"/>
      <c r="H20" s="171"/>
      <c r="I20" s="171"/>
      <c r="J20" s="171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/>
      <c r="AM20" s="171"/>
      <c r="AN20" s="171"/>
      <c r="AO20" s="171"/>
      <c r="AP20" s="171"/>
      <c r="AQ20" s="171"/>
      <c r="AR20" s="171"/>
      <c r="AS20" s="171"/>
      <c r="AT20" s="171"/>
      <c r="AU20" s="171"/>
      <c r="AV20" s="171"/>
      <c r="AW20" s="171"/>
      <c r="AX20" s="171"/>
      <c r="AY20" s="171"/>
      <c r="AZ20" s="173"/>
    </row>
    <row r="21" spans="1:52" ht="13.5" customHeight="1">
      <c r="A21" s="372"/>
      <c r="B21" s="335"/>
      <c r="C21" s="171"/>
      <c r="E21" s="174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/>
      <c r="AM21" s="171"/>
      <c r="AN21" s="171"/>
      <c r="AO21" s="171"/>
      <c r="AP21" s="171"/>
      <c r="AQ21" s="171"/>
      <c r="AR21" s="171"/>
      <c r="AS21" s="171"/>
      <c r="AT21" s="171"/>
      <c r="AU21" s="171"/>
      <c r="AV21" s="171"/>
      <c r="AW21" s="171"/>
      <c r="AX21" s="171"/>
      <c r="AY21" s="171"/>
      <c r="AZ21" s="173"/>
    </row>
    <row r="22" spans="1:52" ht="13.5" customHeight="1">
      <c r="A22" s="372"/>
      <c r="B22" s="335"/>
      <c r="C22" s="171"/>
      <c r="E22" s="154"/>
      <c r="F22" s="175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1"/>
      <c r="AT22" s="171"/>
      <c r="AU22" s="171"/>
      <c r="AV22" s="171"/>
      <c r="AW22" s="171"/>
      <c r="AX22" s="171"/>
      <c r="AY22" s="171"/>
      <c r="AZ22" s="173"/>
    </row>
    <row r="23" spans="1:52" ht="13.5" customHeight="1">
      <c r="A23" s="372"/>
      <c r="B23" s="335"/>
      <c r="C23" s="171"/>
      <c r="D23" s="154"/>
      <c r="E23" s="154"/>
      <c r="F23" s="154"/>
      <c r="G23" s="154"/>
      <c r="H23" s="171"/>
      <c r="I23" s="171"/>
      <c r="J23" s="171"/>
      <c r="K23" s="171"/>
      <c r="L23" s="171"/>
      <c r="M23" s="171"/>
      <c r="N23" s="171"/>
      <c r="O23" s="171"/>
      <c r="P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1"/>
      <c r="AT23" s="171"/>
      <c r="AU23" s="171"/>
      <c r="AV23" s="171"/>
      <c r="AW23" s="171"/>
      <c r="AX23" s="171"/>
      <c r="AY23" s="171"/>
      <c r="AZ23" s="173"/>
    </row>
    <row r="24" spans="1:52" ht="13.5" customHeight="1">
      <c r="A24" s="372"/>
      <c r="B24" s="335"/>
      <c r="C24" s="171"/>
      <c r="D24" s="154"/>
      <c r="E24" s="154"/>
      <c r="F24" s="154"/>
      <c r="G24" s="154"/>
      <c r="H24" s="171"/>
      <c r="I24" s="171"/>
      <c r="J24" s="171"/>
      <c r="K24" s="171"/>
      <c r="L24" s="171"/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1"/>
      <c r="AT24" s="171"/>
      <c r="AU24" s="171"/>
      <c r="AV24" s="171"/>
      <c r="AW24" s="171"/>
      <c r="AX24" s="171"/>
      <c r="AY24" s="171"/>
      <c r="AZ24" s="173"/>
    </row>
    <row r="25" spans="1:52" ht="13.5" customHeight="1">
      <c r="A25" s="372"/>
      <c r="B25" s="335"/>
      <c r="C25" s="171"/>
      <c r="D25" s="171"/>
      <c r="E25" s="174"/>
      <c r="F25" s="171"/>
      <c r="G25" s="171"/>
      <c r="H25" s="171"/>
      <c r="I25" s="171"/>
      <c r="J25" s="171"/>
      <c r="K25" s="171"/>
      <c r="L25" s="171"/>
      <c r="M25" s="171"/>
      <c r="N25" s="171"/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/>
      <c r="AM25" s="171"/>
      <c r="AN25" s="171"/>
      <c r="AO25" s="171"/>
      <c r="AP25" s="171"/>
      <c r="AQ25" s="171"/>
      <c r="AR25" s="171"/>
      <c r="AS25" s="171"/>
      <c r="AT25" s="171"/>
      <c r="AU25" s="171"/>
      <c r="AV25" s="171"/>
      <c r="AW25" s="171"/>
      <c r="AX25" s="171"/>
      <c r="AY25" s="171"/>
      <c r="AZ25" s="173"/>
    </row>
    <row r="26" spans="1:52" ht="13.5" customHeight="1">
      <c r="A26" s="372"/>
      <c r="B26" s="335"/>
      <c r="C26" s="171"/>
      <c r="D26" s="171"/>
      <c r="E26" s="174"/>
      <c r="F26" s="174"/>
      <c r="G26" s="171"/>
      <c r="H26" s="171"/>
      <c r="I26" s="171"/>
      <c r="J26" s="171"/>
      <c r="K26" s="171"/>
      <c r="L26" s="171"/>
      <c r="M26" s="171"/>
      <c r="N26" s="171"/>
      <c r="O26" s="171"/>
      <c r="P26" s="171"/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1"/>
      <c r="AT26" s="171"/>
      <c r="AU26" s="171"/>
      <c r="AV26" s="171"/>
      <c r="AW26" s="171"/>
      <c r="AX26" s="171"/>
      <c r="AY26" s="171"/>
      <c r="AZ26" s="173"/>
    </row>
    <row r="27" spans="1:52" ht="13.5" customHeight="1">
      <c r="A27" s="372"/>
      <c r="B27" s="335"/>
      <c r="C27" s="171"/>
      <c r="D27" s="154"/>
      <c r="E27" s="174"/>
      <c r="F27" s="154"/>
      <c r="G27" s="171"/>
      <c r="H27" s="171"/>
      <c r="I27" s="171"/>
      <c r="J27" s="171"/>
      <c r="K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171"/>
      <c r="AI27" s="171"/>
      <c r="AJ27" s="171"/>
      <c r="AK27" s="171"/>
      <c r="AL27" s="171"/>
      <c r="AM27" s="171"/>
      <c r="AN27" s="171"/>
      <c r="AO27" s="171"/>
      <c r="AP27" s="171"/>
      <c r="AQ27" s="171"/>
      <c r="AR27" s="171"/>
      <c r="AS27" s="171"/>
      <c r="AT27" s="171"/>
      <c r="AU27" s="171"/>
      <c r="AV27" s="171"/>
      <c r="AW27" s="171"/>
      <c r="AX27" s="171"/>
      <c r="AY27" s="171"/>
      <c r="AZ27" s="173"/>
    </row>
    <row r="28" spans="1:52" ht="13.5" customHeight="1">
      <c r="A28" s="372"/>
      <c r="B28" s="335"/>
      <c r="C28" s="171"/>
      <c r="D28" s="154"/>
      <c r="F28" s="171"/>
      <c r="G28" s="171"/>
      <c r="H28" s="171"/>
      <c r="I28" s="171"/>
      <c r="J28" s="171"/>
      <c r="K28" s="171"/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/>
      <c r="Z28" s="171"/>
      <c r="AA28" s="171"/>
      <c r="AB28" s="171"/>
      <c r="AC28" s="171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  <c r="AQ28" s="171"/>
      <c r="AR28" s="171"/>
      <c r="AS28" s="171"/>
      <c r="AT28" s="171"/>
      <c r="AU28" s="171"/>
      <c r="AV28" s="171"/>
      <c r="AW28" s="171"/>
      <c r="AX28" s="171"/>
      <c r="AY28" s="171"/>
      <c r="AZ28" s="173"/>
    </row>
    <row r="29" spans="1:52" ht="13.5" customHeight="1">
      <c r="A29" s="372"/>
      <c r="B29" s="335"/>
      <c r="C29" s="171"/>
      <c r="D29" s="171"/>
      <c r="E29" s="174"/>
      <c r="F29" s="171"/>
      <c r="G29" s="171"/>
      <c r="H29" s="171"/>
      <c r="I29" s="171"/>
      <c r="J29" s="171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71"/>
      <c r="V29" s="171"/>
      <c r="W29" s="171"/>
      <c r="X29" s="171"/>
      <c r="Y29" s="171"/>
      <c r="Z29" s="171"/>
      <c r="AA29" s="171"/>
      <c r="AB29" s="171"/>
      <c r="AC29" s="171"/>
      <c r="AD29" s="171"/>
      <c r="AE29" s="171"/>
      <c r="AF29" s="171"/>
      <c r="AG29" s="171"/>
      <c r="AH29" s="171"/>
      <c r="AI29" s="171"/>
      <c r="AJ29" s="171"/>
      <c r="AK29" s="171"/>
      <c r="AL29" s="171"/>
      <c r="AM29" s="171"/>
      <c r="AN29" s="171"/>
      <c r="AO29" s="171"/>
      <c r="AP29" s="171"/>
      <c r="AQ29" s="171"/>
      <c r="AR29" s="171"/>
      <c r="AS29" s="171"/>
      <c r="AT29" s="171"/>
      <c r="AU29" s="171"/>
      <c r="AV29" s="171"/>
      <c r="AW29" s="171"/>
      <c r="AX29" s="171"/>
      <c r="AY29" s="171"/>
      <c r="AZ29" s="173"/>
    </row>
    <row r="30" spans="1:52" ht="13.5" customHeight="1">
      <c r="A30" s="372"/>
      <c r="B30" s="335"/>
      <c r="C30" s="171"/>
      <c r="D30" s="171"/>
      <c r="E30" s="174"/>
      <c r="F30" s="171"/>
      <c r="G30" s="171"/>
      <c r="H30" s="171"/>
      <c r="I30" s="171"/>
      <c r="J30" s="171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/>
      <c r="AD30" s="171"/>
      <c r="AE30" s="171"/>
      <c r="AF30" s="171"/>
      <c r="AG30" s="171"/>
      <c r="AH30" s="171"/>
      <c r="AI30" s="171"/>
      <c r="AJ30" s="171"/>
      <c r="AK30" s="171"/>
      <c r="AL30" s="171"/>
      <c r="AM30" s="171"/>
      <c r="AN30" s="171"/>
      <c r="AO30" s="171"/>
      <c r="AP30" s="171"/>
      <c r="AQ30" s="171"/>
      <c r="AR30" s="171"/>
      <c r="AS30" s="171"/>
      <c r="AT30" s="171"/>
      <c r="AU30" s="171"/>
      <c r="AV30" s="171"/>
      <c r="AW30" s="171"/>
      <c r="AX30" s="171"/>
      <c r="AY30" s="171"/>
      <c r="AZ30" s="173"/>
    </row>
    <row r="31" spans="1:52" ht="13.5" customHeight="1">
      <c r="A31" s="372"/>
      <c r="B31" s="335"/>
      <c r="C31" s="171"/>
      <c r="D31" s="171"/>
      <c r="E31" s="174"/>
      <c r="F31" s="171"/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/>
      <c r="AH31" s="171"/>
      <c r="AI31" s="171"/>
      <c r="AJ31" s="171"/>
      <c r="AK31" s="171"/>
      <c r="AL31" s="171"/>
      <c r="AM31" s="171"/>
      <c r="AN31" s="171"/>
      <c r="AO31" s="171"/>
      <c r="AP31" s="171"/>
      <c r="AQ31" s="171"/>
      <c r="AR31" s="171"/>
      <c r="AS31" s="171"/>
      <c r="AT31" s="171"/>
      <c r="AU31" s="171"/>
      <c r="AV31" s="171"/>
      <c r="AW31" s="171"/>
      <c r="AX31" s="171"/>
      <c r="AY31" s="171"/>
      <c r="AZ31" s="173"/>
    </row>
    <row r="32" spans="1:52" ht="13.5" customHeight="1">
      <c r="A32" s="372"/>
      <c r="B32" s="335"/>
      <c r="C32" s="171"/>
      <c r="D32" s="171"/>
      <c r="E32" s="174"/>
      <c r="F32" s="174"/>
      <c r="G32" s="171"/>
      <c r="H32" s="171"/>
      <c r="I32" s="171"/>
      <c r="J32" s="171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/>
      <c r="AL32" s="171"/>
      <c r="AM32" s="171"/>
      <c r="AN32" s="171"/>
      <c r="AO32" s="171"/>
      <c r="AP32" s="171"/>
      <c r="AQ32" s="171"/>
      <c r="AR32" s="171"/>
      <c r="AS32" s="171"/>
      <c r="AT32" s="171"/>
      <c r="AU32" s="171"/>
      <c r="AV32" s="171"/>
      <c r="AW32" s="171"/>
      <c r="AX32" s="171"/>
      <c r="AY32" s="171"/>
      <c r="AZ32" s="173"/>
    </row>
    <row r="33" spans="1:52" ht="13.5" customHeight="1">
      <c r="A33" s="372"/>
      <c r="B33" s="335"/>
      <c r="C33" s="171"/>
      <c r="D33" s="171"/>
      <c r="E33" s="174"/>
      <c r="F33" s="171"/>
      <c r="G33" s="171"/>
      <c r="H33" s="171"/>
      <c r="I33" s="171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3"/>
    </row>
    <row r="34" spans="1:52" ht="13.5" customHeight="1">
      <c r="A34" s="372"/>
      <c r="B34" s="335"/>
      <c r="C34" s="171"/>
      <c r="D34" s="171"/>
      <c r="E34" s="174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3"/>
    </row>
    <row r="35" spans="1:52" ht="13.5" customHeight="1">
      <c r="A35" s="372"/>
      <c r="B35" s="335"/>
      <c r="C35" s="171"/>
      <c r="D35" s="171"/>
      <c r="E35" s="174"/>
      <c r="F35" s="171"/>
      <c r="G35" s="171"/>
      <c r="H35" s="171"/>
      <c r="I35" s="171"/>
      <c r="J35" s="171"/>
      <c r="K35" s="171"/>
      <c r="L35" s="171"/>
      <c r="M35" s="171"/>
      <c r="N35" s="171"/>
      <c r="O35" s="171"/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171"/>
      <c r="AN35" s="171"/>
      <c r="AO35" s="171"/>
      <c r="AP35" s="171"/>
      <c r="AQ35" s="171"/>
      <c r="AR35" s="171"/>
      <c r="AS35" s="171"/>
      <c r="AT35" s="171"/>
      <c r="AU35" s="171"/>
      <c r="AV35" s="171"/>
      <c r="AW35" s="171"/>
      <c r="AX35" s="171"/>
      <c r="AY35" s="171"/>
      <c r="AZ35" s="173"/>
    </row>
    <row r="36" spans="1:52" ht="13.5" customHeight="1">
      <c r="A36" s="374"/>
      <c r="B36" s="337"/>
      <c r="C36" s="176"/>
      <c r="D36" s="176"/>
      <c r="E36" s="177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76"/>
      <c r="AH36" s="176"/>
      <c r="AI36" s="176"/>
      <c r="AJ36" s="176"/>
      <c r="AK36" s="176"/>
      <c r="AL36" s="176"/>
      <c r="AM36" s="176"/>
      <c r="AN36" s="176"/>
      <c r="AO36" s="176"/>
      <c r="AP36" s="176"/>
      <c r="AQ36" s="176"/>
      <c r="AR36" s="176"/>
      <c r="AS36" s="176"/>
      <c r="AT36" s="176"/>
      <c r="AU36" s="176"/>
      <c r="AV36" s="176"/>
      <c r="AW36" s="176"/>
      <c r="AX36" s="176"/>
      <c r="AY36" s="176"/>
      <c r="AZ36" s="178"/>
    </row>
  </sheetData>
  <customSheetViews>
    <customSheetView guid="{A6ABB528-5CA4-4D4C-8A92-065340906B37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orientation="landscape" r:id="rId1"/>
      <headerFooter alignWithMargins="0"/>
    </customSheetView>
    <customSheetView guid="{8E288406-DA20-4489-A100-6BF008027C94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orientation="landscape" r:id="rId2"/>
      <headerFooter alignWithMargins="0"/>
    </customSheetView>
  </customSheetViews>
  <mergeCells count="49">
    <mergeCell ref="AQ1:AR1"/>
    <mergeCell ref="Y2:AC2"/>
    <mergeCell ref="C1:P2"/>
    <mergeCell ref="AS1:AV1"/>
    <mergeCell ref="AW1:AZ1"/>
    <mergeCell ref="Q1:R1"/>
    <mergeCell ref="S1:X1"/>
    <mergeCell ref="Y1:AE1"/>
    <mergeCell ref="AW2:AZ2"/>
    <mergeCell ref="AF1:AK1"/>
    <mergeCell ref="AL1:AP1"/>
    <mergeCell ref="Q2:R2"/>
    <mergeCell ref="AD2:AE2"/>
    <mergeCell ref="A10:B10"/>
    <mergeCell ref="A16:B16"/>
    <mergeCell ref="A17:B17"/>
    <mergeCell ref="A9:B9"/>
    <mergeCell ref="S2:X2"/>
    <mergeCell ref="A11:B11"/>
    <mergeCell ref="A14:B14"/>
    <mergeCell ref="A6:B7"/>
    <mergeCell ref="C6:AZ7"/>
    <mergeCell ref="AL2:AP2"/>
    <mergeCell ref="AQ2:AR2"/>
    <mergeCell ref="AS2:AV2"/>
    <mergeCell ref="A8:B8"/>
    <mergeCell ref="AF2:AK2"/>
    <mergeCell ref="A32:B32"/>
    <mergeCell ref="A36:B36"/>
    <mergeCell ref="A35:B35"/>
    <mergeCell ref="A34:B34"/>
    <mergeCell ref="A29:B29"/>
    <mergeCell ref="A30:B30"/>
    <mergeCell ref="A33:B33"/>
    <mergeCell ref="A31:B31"/>
    <mergeCell ref="A28:B28"/>
    <mergeCell ref="A12:B12"/>
    <mergeCell ref="A13:B13"/>
    <mergeCell ref="A24:B24"/>
    <mergeCell ref="A18:B18"/>
    <mergeCell ref="A26:B26"/>
    <mergeCell ref="A22:B22"/>
    <mergeCell ref="A23:B23"/>
    <mergeCell ref="A21:B21"/>
    <mergeCell ref="A15:B15"/>
    <mergeCell ref="A19:B19"/>
    <mergeCell ref="A20:B20"/>
    <mergeCell ref="A27:B27"/>
    <mergeCell ref="A25:B25"/>
  </mergeCells>
  <phoneticPr fontId="2"/>
  <pageMargins left="0.59055118110236227" right="0.59055118110236227" top="0.78740157480314965" bottom="0.59055118110236227" header="0.51181102362204722" footer="0.31496062992125984"/>
  <pageSetup paperSize="9" orientation="landscape" r:id="rId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3B57-966E-4407-B588-348FEB3AEBB5}">
  <dimension ref="B3:K34"/>
  <sheetViews>
    <sheetView tabSelected="1" topLeftCell="A4" zoomScale="115" zoomScaleNormal="115" workbookViewId="0">
      <selection activeCell="B30" sqref="B30"/>
    </sheetView>
  </sheetViews>
  <sheetFormatPr defaultRowHeight="13.5"/>
  <cols>
    <col min="3" max="3" width="18.75" customWidth="1"/>
  </cols>
  <sheetData>
    <row r="3" spans="2:11">
      <c r="B3" s="894"/>
      <c r="C3" s="895"/>
      <c r="D3" s="895"/>
      <c r="E3" s="895"/>
      <c r="F3" s="895"/>
      <c r="G3" s="895"/>
      <c r="H3" s="895"/>
      <c r="I3" s="895"/>
      <c r="J3" s="895"/>
      <c r="K3" s="896"/>
    </row>
    <row r="4" spans="2:11">
      <c r="B4" s="897"/>
      <c r="C4" s="898"/>
      <c r="D4" s="898"/>
      <c r="E4" s="898"/>
      <c r="F4" s="898"/>
      <c r="G4" s="898"/>
      <c r="H4" s="898"/>
      <c r="I4" s="898"/>
      <c r="J4" s="898"/>
      <c r="K4" s="899"/>
    </row>
    <row r="5" spans="2:11">
      <c r="B5" s="897"/>
      <c r="C5" s="898"/>
      <c r="D5" s="898"/>
      <c r="E5" s="898"/>
      <c r="F5" s="898"/>
      <c r="G5" s="898"/>
      <c r="H5" s="898"/>
      <c r="I5" s="898"/>
      <c r="J5" s="898"/>
      <c r="K5" s="899"/>
    </row>
    <row r="6" spans="2:11">
      <c r="B6" s="897"/>
      <c r="C6" s="898" t="s">
        <v>276</v>
      </c>
      <c r="D6" s="889"/>
      <c r="E6" s="890"/>
      <c r="F6" s="890"/>
      <c r="G6" s="890"/>
      <c r="H6" s="891"/>
      <c r="I6" s="903" t="s">
        <v>277</v>
      </c>
      <c r="J6" s="898"/>
      <c r="K6" s="899"/>
    </row>
    <row r="7" spans="2:11">
      <c r="B7" s="897"/>
      <c r="C7" s="898"/>
      <c r="D7" s="898"/>
      <c r="E7" s="898"/>
      <c r="F7" s="898"/>
      <c r="G7" s="898"/>
      <c r="H7" s="898"/>
      <c r="I7" s="898"/>
      <c r="J7" s="898"/>
      <c r="K7" s="899"/>
    </row>
    <row r="8" spans="2:11">
      <c r="B8" s="897"/>
      <c r="C8" s="898" t="s">
        <v>278</v>
      </c>
      <c r="D8" s="889"/>
      <c r="E8" s="890"/>
      <c r="F8" s="890"/>
      <c r="G8" s="890"/>
      <c r="H8" s="891"/>
      <c r="I8" s="903" t="s">
        <v>277</v>
      </c>
      <c r="J8" s="898"/>
      <c r="K8" s="899"/>
    </row>
    <row r="9" spans="2:11">
      <c r="B9" s="897"/>
      <c r="C9" s="898"/>
      <c r="D9" s="898"/>
      <c r="E9" s="898"/>
      <c r="F9" s="898"/>
      <c r="G9" s="898"/>
      <c r="H9" s="898"/>
      <c r="I9" s="898"/>
      <c r="J9" s="898"/>
      <c r="K9" s="899"/>
    </row>
    <row r="10" spans="2:11">
      <c r="B10" s="897"/>
      <c r="C10" s="898" t="s">
        <v>279</v>
      </c>
      <c r="D10" s="889"/>
      <c r="E10" s="890"/>
      <c r="F10" s="890"/>
      <c r="G10" s="890"/>
      <c r="H10" s="891"/>
      <c r="I10" s="903" t="s">
        <v>277</v>
      </c>
      <c r="J10" s="898"/>
      <c r="K10" s="899"/>
    </row>
    <row r="11" spans="2:11">
      <c r="B11" s="897"/>
      <c r="C11" s="898"/>
      <c r="D11" s="898"/>
      <c r="E11" s="898"/>
      <c r="F11" s="898"/>
      <c r="G11" s="898"/>
      <c r="H11" s="898"/>
      <c r="I11" s="898"/>
      <c r="J11" s="898"/>
      <c r="K11" s="899"/>
    </row>
    <row r="12" spans="2:11">
      <c r="B12" s="897"/>
      <c r="C12" s="898"/>
      <c r="D12" s="898"/>
      <c r="E12" s="898"/>
      <c r="F12" s="898"/>
      <c r="G12" s="898"/>
      <c r="H12" s="898"/>
      <c r="I12" s="898"/>
      <c r="J12" s="898"/>
      <c r="K12" s="899"/>
    </row>
    <row r="13" spans="2:11">
      <c r="B13" s="897"/>
      <c r="C13" s="892" t="s">
        <v>280</v>
      </c>
      <c r="D13" s="892" t="s">
        <v>284</v>
      </c>
      <c r="E13" s="892" t="s">
        <v>285</v>
      </c>
      <c r="F13" s="892" t="s">
        <v>286</v>
      </c>
      <c r="G13" s="898"/>
      <c r="H13" s="898"/>
      <c r="I13" s="898"/>
      <c r="J13" s="898"/>
      <c r="K13" s="899"/>
    </row>
    <row r="14" spans="2:11">
      <c r="B14" s="897" t="s">
        <v>283</v>
      </c>
      <c r="C14" s="892" t="s">
        <v>281</v>
      </c>
      <c r="D14" s="892" t="s">
        <v>287</v>
      </c>
      <c r="E14" s="893" t="s">
        <v>288</v>
      </c>
      <c r="F14" s="898"/>
      <c r="G14" s="898"/>
      <c r="H14" s="898"/>
      <c r="I14" s="904" t="s">
        <v>301</v>
      </c>
      <c r="J14" s="898"/>
      <c r="K14" s="899"/>
    </row>
    <row r="15" spans="2:11">
      <c r="B15" s="897"/>
      <c r="C15" s="892" t="s">
        <v>282</v>
      </c>
      <c r="D15" s="892" t="s">
        <v>289</v>
      </c>
      <c r="E15" s="892" t="s">
        <v>290</v>
      </c>
      <c r="F15" s="892" t="s">
        <v>291</v>
      </c>
      <c r="G15" s="892" t="s">
        <v>292</v>
      </c>
      <c r="H15" s="898"/>
      <c r="I15" s="905"/>
      <c r="J15" s="898"/>
      <c r="K15" s="899"/>
    </row>
    <row r="16" spans="2:11">
      <c r="B16" s="897"/>
      <c r="C16" s="898"/>
      <c r="D16" s="898"/>
      <c r="E16" s="898"/>
      <c r="F16" s="898"/>
      <c r="G16" s="898"/>
      <c r="H16" s="898"/>
      <c r="I16" s="906"/>
      <c r="J16" s="898"/>
      <c r="K16" s="899"/>
    </row>
    <row r="17" spans="2:11">
      <c r="B17" s="897"/>
      <c r="C17" s="898" t="s">
        <v>294</v>
      </c>
      <c r="D17" s="898"/>
      <c r="E17" s="898"/>
      <c r="F17" s="898"/>
      <c r="G17" s="898"/>
      <c r="H17" s="898"/>
      <c r="I17" s="898"/>
      <c r="J17" s="898"/>
      <c r="K17" s="899"/>
    </row>
    <row r="18" spans="2:11">
      <c r="B18" s="897"/>
      <c r="C18" s="892" t="s">
        <v>293</v>
      </c>
      <c r="D18" s="892"/>
      <c r="E18" s="898"/>
      <c r="F18" s="898"/>
      <c r="G18" s="898"/>
      <c r="H18" s="898"/>
      <c r="I18" s="898"/>
      <c r="J18" s="898"/>
      <c r="K18" s="899"/>
    </row>
    <row r="19" spans="2:11">
      <c r="B19" s="897"/>
      <c r="C19" s="892" t="s">
        <v>296</v>
      </c>
      <c r="D19" s="892"/>
      <c r="E19" s="898"/>
      <c r="F19" s="898"/>
      <c r="G19" s="898"/>
      <c r="H19" s="898"/>
      <c r="I19" s="898"/>
      <c r="J19" s="898"/>
      <c r="K19" s="899"/>
    </row>
    <row r="20" spans="2:11">
      <c r="B20" s="897"/>
      <c r="C20" s="892" t="s">
        <v>297</v>
      </c>
      <c r="D20" s="892"/>
      <c r="E20" s="898"/>
      <c r="F20" s="898"/>
      <c r="G20" s="898"/>
      <c r="H20" s="898"/>
      <c r="I20" s="898"/>
      <c r="J20" s="898"/>
      <c r="K20" s="899"/>
    </row>
    <row r="21" spans="2:11">
      <c r="B21" s="897"/>
      <c r="C21" s="892" t="s">
        <v>298</v>
      </c>
      <c r="D21" s="892"/>
      <c r="E21" s="898"/>
      <c r="F21" s="898"/>
      <c r="G21" s="898"/>
      <c r="H21" s="898"/>
      <c r="I21" s="898"/>
      <c r="J21" s="898"/>
      <c r="K21" s="899"/>
    </row>
    <row r="22" spans="2:11">
      <c r="B22" s="897"/>
      <c r="C22" s="892" t="s">
        <v>299</v>
      </c>
      <c r="D22" s="892"/>
      <c r="E22" s="898"/>
      <c r="F22" s="898"/>
      <c r="G22" s="898"/>
      <c r="H22" s="898"/>
      <c r="I22" s="898"/>
      <c r="J22" s="898"/>
      <c r="K22" s="899"/>
    </row>
    <row r="23" spans="2:11">
      <c r="B23" s="897"/>
      <c r="C23" s="892" t="s">
        <v>10</v>
      </c>
      <c r="D23" s="892"/>
      <c r="E23" s="898"/>
      <c r="F23" s="898"/>
      <c r="G23" s="898"/>
      <c r="H23" s="898"/>
      <c r="I23" s="898"/>
      <c r="J23" s="898"/>
      <c r="K23" s="899"/>
    </row>
    <row r="24" spans="2:11">
      <c r="B24" s="897"/>
      <c r="C24" s="898"/>
      <c r="D24" s="898"/>
      <c r="E24" s="898"/>
      <c r="F24" s="898"/>
      <c r="G24" s="898"/>
      <c r="H24" s="898"/>
      <c r="I24" s="898"/>
      <c r="J24" s="898"/>
      <c r="K24" s="899"/>
    </row>
    <row r="25" spans="2:11">
      <c r="B25" s="897"/>
      <c r="C25" s="898"/>
      <c r="D25" s="898"/>
      <c r="E25" s="898"/>
      <c r="F25" s="898"/>
      <c r="G25" s="898"/>
      <c r="H25" s="898"/>
      <c r="I25" s="898"/>
      <c r="J25" s="898"/>
      <c r="K25" s="899"/>
    </row>
    <row r="26" spans="2:11">
      <c r="B26" s="900"/>
      <c r="C26" s="901"/>
      <c r="D26" s="901"/>
      <c r="E26" s="901"/>
      <c r="F26" s="901"/>
      <c r="G26" s="901"/>
      <c r="H26" s="901"/>
      <c r="I26" s="901"/>
      <c r="J26" s="901"/>
      <c r="K26" s="902"/>
    </row>
    <row r="30" spans="2:11" ht="16.5">
      <c r="B30" s="907" t="s">
        <v>302</v>
      </c>
    </row>
    <row r="31" spans="2:11" ht="16.5">
      <c r="B31" s="907" t="s">
        <v>303</v>
      </c>
    </row>
    <row r="32" spans="2:11">
      <c r="B32" s="892" t="s">
        <v>280</v>
      </c>
    </row>
    <row r="33" spans="2:2">
      <c r="B33" s="892" t="s">
        <v>281</v>
      </c>
    </row>
    <row r="34" spans="2:2">
      <c r="B34" s="892" t="s">
        <v>282</v>
      </c>
    </row>
  </sheetData>
  <mergeCells count="4">
    <mergeCell ref="I14:I16"/>
    <mergeCell ref="D6:H6"/>
    <mergeCell ref="D8:H8"/>
    <mergeCell ref="D10:H10"/>
  </mergeCells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74"/>
  <sheetViews>
    <sheetView showGridLines="0" view="pageBreakPreview" zoomScale="75" zoomScaleNormal="75" zoomScaleSheetLayoutView="75" workbookViewId="0">
      <selection activeCell="AW2" sqref="AW2:AZ2"/>
    </sheetView>
  </sheetViews>
  <sheetFormatPr defaultColWidth="2.625" defaultRowHeight="12"/>
  <cols>
    <col min="1" max="16384" width="2.625" style="135"/>
  </cols>
  <sheetData>
    <row r="1" spans="1:52" ht="14.25" customHeight="1">
      <c r="A1" s="144" t="s">
        <v>3</v>
      </c>
      <c r="B1" s="145"/>
      <c r="C1" s="450" t="s">
        <v>110</v>
      </c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  <c r="Q1" s="452" t="s">
        <v>4</v>
      </c>
      <c r="R1" s="453"/>
      <c r="S1" s="441" t="s">
        <v>5</v>
      </c>
      <c r="T1" s="439"/>
      <c r="U1" s="439"/>
      <c r="V1" s="439"/>
      <c r="W1" s="439"/>
      <c r="X1" s="442"/>
      <c r="Y1" s="443">
        <f>目次!Y1</f>
        <v>45044</v>
      </c>
      <c r="Z1" s="444"/>
      <c r="AA1" s="444"/>
      <c r="AB1" s="444"/>
      <c r="AC1" s="444"/>
      <c r="AD1" s="444"/>
      <c r="AE1" s="445"/>
      <c r="AF1" s="446" t="s">
        <v>6</v>
      </c>
      <c r="AG1" s="447"/>
      <c r="AH1" s="447"/>
      <c r="AI1" s="447"/>
      <c r="AJ1" s="447"/>
      <c r="AK1" s="448"/>
      <c r="AL1" s="449" t="str">
        <f>目次!AL1</f>
        <v>徐</v>
      </c>
      <c r="AM1" s="439"/>
      <c r="AN1" s="439"/>
      <c r="AO1" s="439"/>
      <c r="AP1" s="439"/>
      <c r="AQ1" s="439" t="str">
        <f>目次!AQ1</f>
        <v>JNW</v>
      </c>
      <c r="AR1" s="440"/>
      <c r="AS1" s="441" t="s">
        <v>7</v>
      </c>
      <c r="AT1" s="439"/>
      <c r="AU1" s="439"/>
      <c r="AV1" s="442"/>
      <c r="AW1" s="443">
        <f>目次!AW1</f>
        <v>45027</v>
      </c>
      <c r="AX1" s="444"/>
      <c r="AY1" s="444"/>
      <c r="AZ1" s="445"/>
    </row>
    <row r="2" spans="1:52" ht="14.25" customHeight="1">
      <c r="A2" s="146"/>
      <c r="B2" s="147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Q2" s="454">
        <f>目次!Q2</f>
        <v>1</v>
      </c>
      <c r="R2" s="455"/>
      <c r="S2" s="446" t="s">
        <v>8</v>
      </c>
      <c r="T2" s="447"/>
      <c r="U2" s="447"/>
      <c r="V2" s="447"/>
      <c r="W2" s="447"/>
      <c r="X2" s="448"/>
      <c r="Y2" s="449" t="str">
        <f>目次!Y2</f>
        <v>福島　副部長</v>
      </c>
      <c r="Z2" s="439"/>
      <c r="AA2" s="439"/>
      <c r="AB2" s="439"/>
      <c r="AC2" s="439"/>
      <c r="AD2" s="439" t="str">
        <f>目次!AD2</f>
        <v>DIR</v>
      </c>
      <c r="AE2" s="440"/>
      <c r="AF2" s="446" t="s">
        <v>9</v>
      </c>
      <c r="AG2" s="447"/>
      <c r="AH2" s="447"/>
      <c r="AI2" s="447"/>
      <c r="AJ2" s="447"/>
      <c r="AK2" s="448"/>
      <c r="AL2" s="449" t="str">
        <f>目次!AL2</f>
        <v>徐</v>
      </c>
      <c r="AM2" s="439"/>
      <c r="AN2" s="439"/>
      <c r="AO2" s="439"/>
      <c r="AP2" s="439"/>
      <c r="AQ2" s="439" t="str">
        <f>目次!AQ2</f>
        <v>JNW</v>
      </c>
      <c r="AR2" s="440"/>
      <c r="AS2" s="441" t="s">
        <v>10</v>
      </c>
      <c r="AT2" s="439"/>
      <c r="AU2" s="439"/>
      <c r="AV2" s="442"/>
      <c r="AW2" s="443">
        <f>目次!AW2</f>
        <v>45027</v>
      </c>
      <c r="AX2" s="444"/>
      <c r="AY2" s="444"/>
      <c r="AZ2" s="445"/>
    </row>
    <row r="3" spans="1:52" ht="14.25">
      <c r="A3" s="148" t="s">
        <v>90</v>
      </c>
      <c r="B3" s="149"/>
      <c r="C3" s="150"/>
      <c r="D3" s="150"/>
      <c r="E3" s="150"/>
      <c r="F3" s="151" t="s">
        <v>91</v>
      </c>
      <c r="G3" s="152"/>
      <c r="H3" s="152"/>
      <c r="I3" s="152"/>
      <c r="J3" s="152"/>
      <c r="K3" s="152"/>
      <c r="L3" s="152"/>
      <c r="M3" s="152"/>
      <c r="N3" s="152"/>
      <c r="O3" s="153"/>
      <c r="P3" s="152"/>
      <c r="Q3" s="152"/>
      <c r="R3" s="152"/>
      <c r="S3" s="152"/>
      <c r="T3" s="152"/>
      <c r="U3" s="152"/>
      <c r="V3" s="152"/>
      <c r="W3" s="152"/>
      <c r="X3" s="152"/>
      <c r="Y3" s="152"/>
      <c r="Z3" s="152"/>
      <c r="AA3" s="152"/>
      <c r="AB3" s="152"/>
      <c r="AC3" s="152"/>
      <c r="AD3" s="152"/>
      <c r="AE3" s="133"/>
      <c r="AZ3" s="155"/>
    </row>
    <row r="4" spans="1:52" ht="14.25">
      <c r="A4" s="179" t="str">
        <f>目次!A4</f>
        <v>MAET86S1</v>
      </c>
      <c r="B4" s="156"/>
      <c r="C4" s="157"/>
      <c r="D4" s="157"/>
      <c r="E4" s="157"/>
      <c r="F4" s="180" t="str">
        <f>目次!F4</f>
        <v>ＡＣＰ同一人識別番号付加処理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9"/>
      <c r="AZ4" s="160"/>
    </row>
    <row r="5" spans="1:52" ht="12" customHeight="1">
      <c r="A5" s="161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54"/>
      <c r="AE5" s="154"/>
      <c r="AF5" s="154"/>
      <c r="AG5" s="154"/>
      <c r="AH5" s="154"/>
      <c r="AI5" s="154"/>
      <c r="AJ5" s="154"/>
      <c r="AK5" s="154"/>
      <c r="AL5" s="154"/>
      <c r="AM5" s="154"/>
      <c r="AN5" s="154"/>
      <c r="AO5" s="154"/>
      <c r="AP5" s="154"/>
      <c r="AQ5" s="154"/>
      <c r="AR5" s="154"/>
      <c r="AS5" s="154"/>
      <c r="AT5" s="154"/>
      <c r="AU5" s="154"/>
      <c r="AV5" s="154"/>
      <c r="AW5" s="154"/>
      <c r="AX5" s="154"/>
      <c r="AY5" s="154"/>
      <c r="AZ5" s="160"/>
    </row>
    <row r="6" spans="1:52" ht="12" customHeight="1">
      <c r="A6" s="161"/>
      <c r="B6" s="154" t="s">
        <v>16</v>
      </c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154"/>
      <c r="AD6" s="154"/>
      <c r="AE6" s="154"/>
      <c r="AF6" s="154"/>
      <c r="AG6" s="154"/>
      <c r="AH6" s="154"/>
      <c r="AI6" s="154"/>
      <c r="AJ6" s="154"/>
      <c r="AK6" s="154"/>
      <c r="AL6" s="154"/>
      <c r="AM6" s="154"/>
      <c r="AN6" s="154"/>
      <c r="AO6" s="154"/>
      <c r="AP6" s="154"/>
      <c r="AQ6" s="154"/>
      <c r="AR6" s="154"/>
      <c r="AS6" s="154"/>
      <c r="AT6" s="154"/>
      <c r="AU6" s="154"/>
      <c r="AV6" s="154"/>
      <c r="AW6" s="154"/>
      <c r="AX6" s="154"/>
      <c r="AY6" s="154"/>
      <c r="AZ6" s="160"/>
    </row>
    <row r="7" spans="1:52" ht="12" customHeight="1">
      <c r="A7" s="161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154"/>
      <c r="AD7" s="154"/>
      <c r="AE7" s="154"/>
      <c r="AF7" s="154"/>
      <c r="AG7" s="154"/>
      <c r="AH7" s="154"/>
      <c r="AI7" s="154"/>
      <c r="AJ7" s="154"/>
      <c r="AK7" s="154"/>
      <c r="AL7" s="154"/>
      <c r="AM7" s="154"/>
      <c r="AN7" s="154"/>
      <c r="AO7" s="154"/>
      <c r="AP7" s="154"/>
      <c r="AQ7" s="154"/>
      <c r="AR7" s="154"/>
      <c r="AS7" s="154"/>
      <c r="AT7" s="154"/>
      <c r="AU7" s="154"/>
      <c r="AV7" s="154"/>
      <c r="AW7" s="154"/>
      <c r="AX7" s="154"/>
      <c r="AY7" s="154"/>
      <c r="AZ7" s="160"/>
    </row>
    <row r="8" spans="1:52" ht="12" customHeight="1">
      <c r="A8" s="161"/>
      <c r="B8" s="154"/>
      <c r="C8" s="154"/>
      <c r="D8" s="154" t="s">
        <v>111</v>
      </c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  <c r="P8" s="154"/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54"/>
      <c r="AE8" s="154"/>
      <c r="AF8" s="154"/>
      <c r="AG8" s="154"/>
      <c r="AH8" s="154"/>
      <c r="AI8" s="154"/>
      <c r="AJ8" s="154"/>
      <c r="AK8" s="154"/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60"/>
    </row>
    <row r="9" spans="1:52" ht="12" customHeight="1">
      <c r="A9" s="161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60"/>
    </row>
    <row r="10" spans="1:52" ht="12" customHeight="1">
      <c r="A10" s="161"/>
      <c r="B10" s="484" t="s">
        <v>17</v>
      </c>
      <c r="C10" s="486"/>
      <c r="D10" s="484" t="s">
        <v>18</v>
      </c>
      <c r="E10" s="485"/>
      <c r="F10" s="485"/>
      <c r="G10" s="485"/>
      <c r="H10" s="485"/>
      <c r="I10" s="485"/>
      <c r="J10" s="485"/>
      <c r="K10" s="486"/>
      <c r="L10" s="484" t="s">
        <v>19</v>
      </c>
      <c r="M10" s="485"/>
      <c r="N10" s="485"/>
      <c r="O10" s="485"/>
      <c r="P10" s="486"/>
      <c r="Q10" s="484" t="s">
        <v>20</v>
      </c>
      <c r="R10" s="485"/>
      <c r="S10" s="486"/>
      <c r="T10" s="484" t="s">
        <v>21</v>
      </c>
      <c r="U10" s="485"/>
      <c r="V10" s="485"/>
      <c r="W10" s="485"/>
      <c r="X10" s="485"/>
      <c r="Y10" s="485"/>
      <c r="Z10" s="485"/>
      <c r="AA10" s="485"/>
      <c r="AB10" s="485"/>
      <c r="AC10" s="485"/>
      <c r="AD10" s="485"/>
      <c r="AE10" s="485"/>
      <c r="AF10" s="485"/>
      <c r="AG10" s="485"/>
      <c r="AH10" s="485"/>
      <c r="AI10" s="485"/>
      <c r="AJ10" s="485"/>
      <c r="AK10" s="485"/>
      <c r="AL10" s="485"/>
      <c r="AM10" s="485"/>
      <c r="AN10" s="485"/>
      <c r="AO10" s="485"/>
      <c r="AP10" s="485"/>
      <c r="AQ10" s="485"/>
      <c r="AR10" s="486"/>
      <c r="AS10" s="496" t="s">
        <v>22</v>
      </c>
      <c r="AT10" s="485"/>
      <c r="AU10" s="485"/>
      <c r="AV10" s="485"/>
      <c r="AW10" s="485"/>
      <c r="AX10" s="485"/>
      <c r="AY10" s="486"/>
      <c r="AZ10" s="160"/>
    </row>
    <row r="11" spans="1:52" ht="12" customHeight="1">
      <c r="A11" s="161"/>
      <c r="B11" s="487"/>
      <c r="C11" s="489"/>
      <c r="D11" s="487"/>
      <c r="E11" s="488"/>
      <c r="F11" s="488"/>
      <c r="G11" s="488"/>
      <c r="H11" s="488"/>
      <c r="I11" s="488"/>
      <c r="J11" s="488"/>
      <c r="K11" s="489"/>
      <c r="L11" s="487"/>
      <c r="M11" s="488"/>
      <c r="N11" s="488"/>
      <c r="O11" s="488"/>
      <c r="P11" s="489"/>
      <c r="Q11" s="487"/>
      <c r="R11" s="488"/>
      <c r="S11" s="489"/>
      <c r="T11" s="487"/>
      <c r="U11" s="488"/>
      <c r="V11" s="488"/>
      <c r="W11" s="488"/>
      <c r="X11" s="488"/>
      <c r="Y11" s="488"/>
      <c r="Z11" s="488"/>
      <c r="AA11" s="488"/>
      <c r="AB11" s="488"/>
      <c r="AC11" s="488"/>
      <c r="AD11" s="488"/>
      <c r="AE11" s="488"/>
      <c r="AF11" s="488"/>
      <c r="AG11" s="488"/>
      <c r="AH11" s="488"/>
      <c r="AI11" s="488"/>
      <c r="AJ11" s="488"/>
      <c r="AK11" s="488"/>
      <c r="AL11" s="488"/>
      <c r="AM11" s="488"/>
      <c r="AN11" s="488"/>
      <c r="AO11" s="488"/>
      <c r="AP11" s="488"/>
      <c r="AQ11" s="488"/>
      <c r="AR11" s="489"/>
      <c r="AS11" s="487"/>
      <c r="AT11" s="488"/>
      <c r="AU11" s="488"/>
      <c r="AV11" s="488"/>
      <c r="AW11" s="488"/>
      <c r="AX11" s="488"/>
      <c r="AY11" s="489"/>
      <c r="AZ11" s="160"/>
    </row>
    <row r="12" spans="1:52" ht="12" customHeight="1">
      <c r="A12" s="161"/>
      <c r="B12" s="181">
        <v>1</v>
      </c>
      <c r="C12" s="111"/>
      <c r="D12" s="182" t="s">
        <v>112</v>
      </c>
      <c r="E12" s="110"/>
      <c r="F12" s="110"/>
      <c r="G12" s="110"/>
      <c r="H12" s="110"/>
      <c r="I12" s="110"/>
      <c r="J12" s="110"/>
      <c r="K12" s="111"/>
      <c r="L12" s="181"/>
      <c r="M12" s="110"/>
      <c r="N12" s="110"/>
      <c r="O12" s="110"/>
      <c r="P12" s="111"/>
      <c r="Q12" s="183"/>
      <c r="R12" s="184"/>
      <c r="S12" s="184"/>
      <c r="T12" s="161" t="s">
        <v>113</v>
      </c>
      <c r="U12" s="154"/>
      <c r="V12" s="154"/>
      <c r="W12" s="154"/>
      <c r="X12" s="154"/>
      <c r="Y12" s="154"/>
      <c r="Z12" s="154"/>
      <c r="AA12" s="154"/>
      <c r="AB12" s="154"/>
      <c r="AC12" s="154"/>
      <c r="AD12" s="154"/>
      <c r="AE12" s="154"/>
      <c r="AF12" s="154"/>
      <c r="AG12" s="154"/>
      <c r="AH12" s="154"/>
      <c r="AI12" s="154"/>
      <c r="AJ12" s="154"/>
      <c r="AK12" s="154"/>
      <c r="AL12" s="154"/>
      <c r="AM12" s="154"/>
      <c r="AN12" s="154"/>
      <c r="AO12" s="154"/>
      <c r="AP12" s="154"/>
      <c r="AQ12" s="154"/>
      <c r="AR12" s="154"/>
      <c r="AS12" s="161"/>
      <c r="AT12" s="154"/>
      <c r="AU12" s="154"/>
      <c r="AV12" s="154"/>
      <c r="AW12" s="154"/>
      <c r="AX12" s="154"/>
      <c r="AY12" s="160"/>
      <c r="AZ12" s="160"/>
    </row>
    <row r="13" spans="1:52" ht="12" customHeight="1">
      <c r="A13" s="161"/>
      <c r="B13" s="112"/>
      <c r="C13" s="114"/>
      <c r="D13" s="115"/>
      <c r="E13" s="113"/>
      <c r="F13" s="113"/>
      <c r="G13" s="113"/>
      <c r="H13" s="113"/>
      <c r="I13" s="113"/>
      <c r="J13" s="113"/>
      <c r="K13" s="114"/>
      <c r="L13" s="112"/>
      <c r="M13" s="113"/>
      <c r="N13" s="113"/>
      <c r="O13" s="113"/>
      <c r="P13" s="114"/>
      <c r="Q13" s="146"/>
      <c r="R13" s="147"/>
      <c r="S13" s="147"/>
      <c r="T13" s="146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6"/>
      <c r="AT13" s="147"/>
      <c r="AU13" s="147"/>
      <c r="AV13" s="147"/>
      <c r="AW13" s="147"/>
      <c r="AX13" s="147"/>
      <c r="AY13" s="165"/>
      <c r="AZ13" s="160"/>
    </row>
    <row r="14" spans="1:52" ht="12" customHeight="1">
      <c r="A14" s="161"/>
      <c r="B14" s="181">
        <v>2</v>
      </c>
      <c r="C14" s="111"/>
      <c r="D14" s="182" t="s">
        <v>23</v>
      </c>
      <c r="E14" s="110"/>
      <c r="F14" s="110"/>
      <c r="G14" s="110"/>
      <c r="H14" s="110"/>
      <c r="I14" s="110"/>
      <c r="J14" s="110"/>
      <c r="K14" s="111"/>
      <c r="L14" s="181"/>
      <c r="M14" s="110"/>
      <c r="N14" s="110"/>
      <c r="O14" s="110"/>
      <c r="P14" s="111"/>
      <c r="Q14" s="183"/>
      <c r="R14" s="184"/>
      <c r="S14" s="184"/>
      <c r="T14" s="161" t="s">
        <v>113</v>
      </c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154"/>
      <c r="AO14" s="154"/>
      <c r="AP14" s="154"/>
      <c r="AQ14" s="154"/>
      <c r="AR14" s="154"/>
      <c r="AS14" s="161"/>
      <c r="AT14" s="154"/>
      <c r="AU14" s="154"/>
      <c r="AV14" s="154"/>
      <c r="AW14" s="154"/>
      <c r="AX14" s="154"/>
      <c r="AY14" s="160"/>
      <c r="AZ14" s="160"/>
    </row>
    <row r="15" spans="1:52" ht="12" customHeight="1">
      <c r="A15" s="161"/>
      <c r="B15" s="112"/>
      <c r="C15" s="114"/>
      <c r="D15" s="115"/>
      <c r="E15" s="113"/>
      <c r="F15" s="113"/>
      <c r="G15" s="113"/>
      <c r="H15" s="113"/>
      <c r="I15" s="113"/>
      <c r="J15" s="113"/>
      <c r="K15" s="114"/>
      <c r="L15" s="112"/>
      <c r="M15" s="113"/>
      <c r="N15" s="113"/>
      <c r="O15" s="113"/>
      <c r="P15" s="114"/>
      <c r="Q15" s="146"/>
      <c r="R15" s="147"/>
      <c r="S15" s="147"/>
      <c r="T15" s="146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6"/>
      <c r="AT15" s="147"/>
      <c r="AU15" s="147"/>
      <c r="AV15" s="147"/>
      <c r="AW15" s="147"/>
      <c r="AX15" s="147"/>
      <c r="AY15" s="165"/>
      <c r="AZ15" s="160"/>
    </row>
    <row r="16" spans="1:52" ht="12" customHeight="1">
      <c r="A16" s="161"/>
      <c r="B16" s="181">
        <v>3</v>
      </c>
      <c r="C16" s="111"/>
      <c r="D16" s="182" t="s">
        <v>24</v>
      </c>
      <c r="E16" s="110"/>
      <c r="F16" s="110"/>
      <c r="G16" s="110"/>
      <c r="H16" s="110"/>
      <c r="I16" s="110"/>
      <c r="J16" s="110"/>
      <c r="K16" s="111"/>
      <c r="L16" s="181"/>
      <c r="M16" s="110"/>
      <c r="N16" s="110"/>
      <c r="O16" s="110"/>
      <c r="P16" s="111"/>
      <c r="Q16" s="183"/>
      <c r="R16" s="184"/>
      <c r="S16" s="184"/>
      <c r="T16" s="161" t="s">
        <v>113</v>
      </c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61"/>
      <c r="AT16" s="154"/>
      <c r="AU16" s="154"/>
      <c r="AV16" s="154"/>
      <c r="AW16" s="154"/>
      <c r="AX16" s="154"/>
      <c r="AY16" s="160"/>
      <c r="AZ16" s="160"/>
    </row>
    <row r="17" spans="1:52" ht="12" customHeight="1">
      <c r="A17" s="161"/>
      <c r="B17" s="112"/>
      <c r="C17" s="114"/>
      <c r="D17" s="115"/>
      <c r="E17" s="113"/>
      <c r="F17" s="113"/>
      <c r="G17" s="113"/>
      <c r="H17" s="113"/>
      <c r="I17" s="113"/>
      <c r="J17" s="113"/>
      <c r="K17" s="114"/>
      <c r="L17" s="112"/>
      <c r="M17" s="113"/>
      <c r="N17" s="113"/>
      <c r="O17" s="113"/>
      <c r="P17" s="114"/>
      <c r="Q17" s="146"/>
      <c r="R17" s="147"/>
      <c r="S17" s="147"/>
      <c r="T17" s="146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6"/>
      <c r="AT17" s="147"/>
      <c r="AU17" s="147"/>
      <c r="AV17" s="147"/>
      <c r="AW17" s="147"/>
      <c r="AX17" s="147"/>
      <c r="AY17" s="165"/>
      <c r="AZ17" s="160"/>
    </row>
    <row r="18" spans="1:52" ht="12" customHeight="1">
      <c r="A18" s="161"/>
      <c r="B18" s="181">
        <v>4</v>
      </c>
      <c r="C18" s="111"/>
      <c r="D18" s="182" t="s">
        <v>74</v>
      </c>
      <c r="E18" s="110"/>
      <c r="F18" s="110"/>
      <c r="G18" s="110"/>
      <c r="H18" s="110"/>
      <c r="I18" s="110"/>
      <c r="J18" s="110"/>
      <c r="K18" s="111"/>
      <c r="L18" s="181"/>
      <c r="M18" s="110"/>
      <c r="N18" s="110"/>
      <c r="O18" s="110"/>
      <c r="P18" s="111"/>
      <c r="Q18" s="185" t="s">
        <v>25</v>
      </c>
      <c r="R18" s="184"/>
      <c r="S18" s="184"/>
      <c r="T18" s="161" t="s">
        <v>114</v>
      </c>
      <c r="U18" s="154"/>
      <c r="V18" s="154"/>
      <c r="W18" s="154"/>
      <c r="X18" s="154"/>
      <c r="Y18" s="154"/>
      <c r="Z18" s="154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61"/>
      <c r="AT18" s="154"/>
      <c r="AU18" s="154"/>
      <c r="AV18" s="154"/>
      <c r="AW18" s="154"/>
      <c r="AX18" s="154"/>
      <c r="AY18" s="160"/>
      <c r="AZ18" s="160"/>
    </row>
    <row r="19" spans="1:52" ht="12" customHeight="1">
      <c r="A19" s="161"/>
      <c r="B19" s="112"/>
      <c r="C19" s="114"/>
      <c r="D19" s="115"/>
      <c r="E19" s="113"/>
      <c r="F19" s="113"/>
      <c r="G19" s="113"/>
      <c r="H19" s="113"/>
      <c r="I19" s="113"/>
      <c r="J19" s="113"/>
      <c r="K19" s="114"/>
      <c r="L19" s="112"/>
      <c r="M19" s="113"/>
      <c r="N19" s="113"/>
      <c r="O19" s="113"/>
      <c r="P19" s="114"/>
      <c r="Q19" s="146"/>
      <c r="R19" s="147"/>
      <c r="S19" s="147"/>
      <c r="T19" s="146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6"/>
      <c r="AT19" s="147"/>
      <c r="AU19" s="147"/>
      <c r="AV19" s="147"/>
      <c r="AW19" s="147"/>
      <c r="AX19" s="147"/>
      <c r="AY19" s="165"/>
      <c r="AZ19" s="160"/>
    </row>
    <row r="20" spans="1:52" ht="12" customHeight="1">
      <c r="A20" s="161"/>
      <c r="B20" s="181">
        <v>5</v>
      </c>
      <c r="C20" s="111"/>
      <c r="D20" s="182" t="s">
        <v>75</v>
      </c>
      <c r="E20" s="110"/>
      <c r="F20" s="110"/>
      <c r="G20" s="110"/>
      <c r="H20" s="110"/>
      <c r="I20" s="110"/>
      <c r="J20" s="110"/>
      <c r="K20" s="111"/>
      <c r="L20" s="181"/>
      <c r="M20" s="110"/>
      <c r="N20" s="110"/>
      <c r="O20" s="110"/>
      <c r="P20" s="111"/>
      <c r="Q20" s="477" t="s">
        <v>150</v>
      </c>
      <c r="R20" s="478"/>
      <c r="S20" s="479"/>
      <c r="T20" s="490" t="s">
        <v>178</v>
      </c>
      <c r="U20" s="491"/>
      <c r="V20" s="491"/>
      <c r="W20" s="491"/>
      <c r="X20" s="491"/>
      <c r="Y20" s="491"/>
      <c r="Z20" s="491"/>
      <c r="AA20" s="491"/>
      <c r="AB20" s="491"/>
      <c r="AC20" s="491"/>
      <c r="AD20" s="491"/>
      <c r="AE20" s="491"/>
      <c r="AF20" s="491"/>
      <c r="AG20" s="491"/>
      <c r="AH20" s="491"/>
      <c r="AI20" s="491"/>
      <c r="AJ20" s="491"/>
      <c r="AK20" s="491"/>
      <c r="AL20" s="491"/>
      <c r="AM20" s="491"/>
      <c r="AN20" s="491"/>
      <c r="AO20" s="491"/>
      <c r="AP20" s="491"/>
      <c r="AQ20" s="491"/>
      <c r="AR20" s="492"/>
      <c r="AS20" s="161"/>
      <c r="AT20" s="154"/>
      <c r="AU20" s="154"/>
      <c r="AV20" s="154"/>
      <c r="AW20" s="154"/>
      <c r="AX20" s="154"/>
      <c r="AY20" s="160"/>
      <c r="AZ20" s="160"/>
    </row>
    <row r="21" spans="1:52" ht="12" customHeight="1">
      <c r="A21" s="161"/>
      <c r="B21" s="112"/>
      <c r="C21" s="114"/>
      <c r="D21" s="115"/>
      <c r="E21" s="113"/>
      <c r="F21" s="113"/>
      <c r="G21" s="113"/>
      <c r="H21" s="113"/>
      <c r="I21" s="113"/>
      <c r="J21" s="113"/>
      <c r="K21" s="114"/>
      <c r="L21" s="112"/>
      <c r="M21" s="113"/>
      <c r="N21" s="113"/>
      <c r="O21" s="113"/>
      <c r="P21" s="114"/>
      <c r="Q21" s="480"/>
      <c r="R21" s="481"/>
      <c r="S21" s="482"/>
      <c r="T21" s="493"/>
      <c r="U21" s="494"/>
      <c r="V21" s="494"/>
      <c r="W21" s="494"/>
      <c r="X21" s="494"/>
      <c r="Y21" s="494"/>
      <c r="Z21" s="494"/>
      <c r="AA21" s="494"/>
      <c r="AB21" s="494"/>
      <c r="AC21" s="494"/>
      <c r="AD21" s="494"/>
      <c r="AE21" s="494"/>
      <c r="AF21" s="494"/>
      <c r="AG21" s="494"/>
      <c r="AH21" s="494"/>
      <c r="AI21" s="494"/>
      <c r="AJ21" s="494"/>
      <c r="AK21" s="494"/>
      <c r="AL21" s="494"/>
      <c r="AM21" s="494"/>
      <c r="AN21" s="494"/>
      <c r="AO21" s="494"/>
      <c r="AP21" s="494"/>
      <c r="AQ21" s="494"/>
      <c r="AR21" s="495"/>
      <c r="AS21" s="146"/>
      <c r="AT21" s="147"/>
      <c r="AU21" s="147"/>
      <c r="AV21" s="147"/>
      <c r="AW21" s="147"/>
      <c r="AX21" s="147"/>
      <c r="AY21" s="165"/>
      <c r="AZ21" s="160"/>
    </row>
    <row r="22" spans="1:52" ht="12" customHeight="1">
      <c r="A22" s="161"/>
      <c r="B22" s="181">
        <v>6</v>
      </c>
      <c r="C22" s="111"/>
      <c r="D22" s="182" t="s">
        <v>26</v>
      </c>
      <c r="E22" s="110"/>
      <c r="F22" s="110"/>
      <c r="G22" s="110"/>
      <c r="H22" s="110"/>
      <c r="I22" s="110"/>
      <c r="J22" s="110"/>
      <c r="K22" s="111"/>
      <c r="L22" s="181"/>
      <c r="M22" s="110"/>
      <c r="N22" s="110"/>
      <c r="O22" s="110"/>
      <c r="P22" s="111"/>
      <c r="Q22" s="183"/>
      <c r="R22" s="184"/>
      <c r="S22" s="184"/>
      <c r="T22" s="474" t="s">
        <v>137</v>
      </c>
      <c r="U22" s="475"/>
      <c r="V22" s="475"/>
      <c r="W22" s="475"/>
      <c r="X22" s="475"/>
      <c r="Y22" s="475"/>
      <c r="Z22" s="475"/>
      <c r="AA22" s="475"/>
      <c r="AB22" s="475"/>
      <c r="AC22" s="475"/>
      <c r="AD22" s="475"/>
      <c r="AE22" s="475"/>
      <c r="AF22" s="475"/>
      <c r="AG22" s="475"/>
      <c r="AH22" s="475"/>
      <c r="AI22" s="475"/>
      <c r="AJ22" s="475"/>
      <c r="AK22" s="475"/>
      <c r="AL22" s="475"/>
      <c r="AM22" s="475"/>
      <c r="AN22" s="475"/>
      <c r="AO22" s="475"/>
      <c r="AP22" s="475"/>
      <c r="AQ22" s="475"/>
      <c r="AR22" s="476"/>
      <c r="AS22" s="161"/>
      <c r="AT22" s="154"/>
      <c r="AU22" s="154"/>
      <c r="AV22" s="154"/>
      <c r="AW22" s="154"/>
      <c r="AX22" s="154"/>
      <c r="AY22" s="160"/>
      <c r="AZ22" s="160"/>
    </row>
    <row r="23" spans="1:52" ht="12" customHeight="1">
      <c r="A23" s="161"/>
      <c r="B23" s="112"/>
      <c r="C23" s="114"/>
      <c r="D23" s="115"/>
      <c r="E23" s="113"/>
      <c r="F23" s="113"/>
      <c r="G23" s="113"/>
      <c r="H23" s="113"/>
      <c r="I23" s="113"/>
      <c r="J23" s="113"/>
      <c r="K23" s="114"/>
      <c r="L23" s="112"/>
      <c r="M23" s="113"/>
      <c r="N23" s="113"/>
      <c r="O23" s="113"/>
      <c r="P23" s="114"/>
      <c r="Q23" s="146"/>
      <c r="R23" s="147"/>
      <c r="S23" s="147"/>
      <c r="T23" s="146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6"/>
      <c r="AT23" s="147"/>
      <c r="AU23" s="147"/>
      <c r="AV23" s="147"/>
      <c r="AW23" s="147"/>
      <c r="AX23" s="147"/>
      <c r="AY23" s="165"/>
      <c r="AZ23" s="160"/>
    </row>
    <row r="24" spans="1:52" ht="12" customHeight="1">
      <c r="A24" s="161"/>
      <c r="B24" s="181">
        <v>7</v>
      </c>
      <c r="C24" s="111"/>
      <c r="D24" s="182" t="s">
        <v>27</v>
      </c>
      <c r="E24" s="110"/>
      <c r="F24" s="110"/>
      <c r="G24" s="110"/>
      <c r="H24" s="110"/>
      <c r="I24" s="110"/>
      <c r="J24" s="110"/>
      <c r="K24" s="111"/>
      <c r="L24" s="181"/>
      <c r="M24" s="110"/>
      <c r="N24" s="110"/>
      <c r="O24" s="110"/>
      <c r="P24" s="111"/>
      <c r="Q24" s="185"/>
      <c r="R24" s="184"/>
      <c r="S24" s="184"/>
      <c r="T24" s="161" t="s">
        <v>115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  <c r="AR24" s="154"/>
      <c r="AS24" s="161"/>
      <c r="AT24" s="154"/>
      <c r="AU24" s="154"/>
      <c r="AV24" s="154"/>
      <c r="AW24" s="154"/>
      <c r="AX24" s="154"/>
      <c r="AY24" s="160"/>
      <c r="AZ24" s="160"/>
    </row>
    <row r="25" spans="1:52" ht="12" customHeight="1">
      <c r="A25" s="161"/>
      <c r="B25" s="112"/>
      <c r="C25" s="114"/>
      <c r="D25" s="115"/>
      <c r="E25" s="113"/>
      <c r="F25" s="113"/>
      <c r="G25" s="113"/>
      <c r="H25" s="113"/>
      <c r="I25" s="113"/>
      <c r="J25" s="113"/>
      <c r="K25" s="114"/>
      <c r="L25" s="112"/>
      <c r="M25" s="113"/>
      <c r="N25" s="113"/>
      <c r="O25" s="113"/>
      <c r="P25" s="114"/>
      <c r="Q25" s="146"/>
      <c r="R25" s="147"/>
      <c r="S25" s="147"/>
      <c r="T25" s="146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6"/>
      <c r="AT25" s="147"/>
      <c r="AU25" s="147"/>
      <c r="AV25" s="147"/>
      <c r="AW25" s="147"/>
      <c r="AX25" s="147"/>
      <c r="AY25" s="165"/>
      <c r="AZ25" s="160"/>
    </row>
    <row r="26" spans="1:52" ht="12" customHeight="1">
      <c r="A26" s="161"/>
      <c r="B26" s="181">
        <v>8</v>
      </c>
      <c r="C26" s="111"/>
      <c r="D26" s="182" t="s">
        <v>28</v>
      </c>
      <c r="E26" s="110"/>
      <c r="F26" s="110"/>
      <c r="G26" s="110"/>
      <c r="H26" s="110"/>
      <c r="I26" s="110"/>
      <c r="J26" s="110"/>
      <c r="K26" s="111"/>
      <c r="L26" s="181"/>
      <c r="M26" s="110"/>
      <c r="N26" s="110"/>
      <c r="O26" s="110"/>
      <c r="P26" s="111"/>
      <c r="Q26" s="483"/>
      <c r="R26" s="478"/>
      <c r="S26" s="479"/>
      <c r="T26" s="468" t="s">
        <v>137</v>
      </c>
      <c r="U26" s="469"/>
      <c r="V26" s="469"/>
      <c r="W26" s="469"/>
      <c r="X26" s="469"/>
      <c r="Y26" s="469"/>
      <c r="Z26" s="469"/>
      <c r="AA26" s="469"/>
      <c r="AB26" s="469"/>
      <c r="AC26" s="469"/>
      <c r="AD26" s="469"/>
      <c r="AE26" s="469"/>
      <c r="AF26" s="469"/>
      <c r="AG26" s="469"/>
      <c r="AH26" s="469"/>
      <c r="AI26" s="469"/>
      <c r="AJ26" s="469"/>
      <c r="AK26" s="469"/>
      <c r="AL26" s="469"/>
      <c r="AM26" s="469"/>
      <c r="AN26" s="469"/>
      <c r="AO26" s="469"/>
      <c r="AP26" s="469"/>
      <c r="AQ26" s="469"/>
      <c r="AR26" s="470"/>
      <c r="AS26" s="161"/>
      <c r="AT26" s="154"/>
      <c r="AU26" s="154"/>
      <c r="AV26" s="154"/>
      <c r="AW26" s="154"/>
      <c r="AX26" s="154"/>
      <c r="AY26" s="160"/>
      <c r="AZ26" s="160"/>
    </row>
    <row r="27" spans="1:52" ht="12" customHeight="1">
      <c r="A27" s="161"/>
      <c r="B27" s="112"/>
      <c r="C27" s="114"/>
      <c r="D27" s="115"/>
      <c r="E27" s="113"/>
      <c r="F27" s="113"/>
      <c r="G27" s="113"/>
      <c r="H27" s="113"/>
      <c r="I27" s="113"/>
      <c r="J27" s="113"/>
      <c r="K27" s="114"/>
      <c r="L27" s="112"/>
      <c r="M27" s="113"/>
      <c r="N27" s="113"/>
      <c r="O27" s="113"/>
      <c r="P27" s="114"/>
      <c r="Q27" s="480"/>
      <c r="R27" s="481"/>
      <c r="S27" s="482"/>
      <c r="T27" s="471"/>
      <c r="U27" s="472"/>
      <c r="V27" s="472"/>
      <c r="W27" s="472"/>
      <c r="X27" s="472"/>
      <c r="Y27" s="472"/>
      <c r="Z27" s="472"/>
      <c r="AA27" s="472"/>
      <c r="AB27" s="472"/>
      <c r="AC27" s="472"/>
      <c r="AD27" s="472"/>
      <c r="AE27" s="472"/>
      <c r="AF27" s="472"/>
      <c r="AG27" s="472"/>
      <c r="AH27" s="472"/>
      <c r="AI27" s="472"/>
      <c r="AJ27" s="472"/>
      <c r="AK27" s="472"/>
      <c r="AL27" s="472"/>
      <c r="AM27" s="472"/>
      <c r="AN27" s="472"/>
      <c r="AO27" s="472"/>
      <c r="AP27" s="472"/>
      <c r="AQ27" s="472"/>
      <c r="AR27" s="473"/>
      <c r="AS27" s="146"/>
      <c r="AT27" s="147"/>
      <c r="AU27" s="147"/>
      <c r="AV27" s="147"/>
      <c r="AW27" s="147"/>
      <c r="AX27" s="147"/>
      <c r="AY27" s="165"/>
      <c r="AZ27" s="160"/>
    </row>
    <row r="28" spans="1:52" ht="12" customHeight="1">
      <c r="A28" s="161"/>
      <c r="B28" s="181">
        <v>9</v>
      </c>
      <c r="C28" s="111"/>
      <c r="D28" s="182" t="s">
        <v>29</v>
      </c>
      <c r="E28" s="110"/>
      <c r="F28" s="110"/>
      <c r="G28" s="110"/>
      <c r="H28" s="110"/>
      <c r="I28" s="110"/>
      <c r="J28" s="110"/>
      <c r="K28" s="111"/>
      <c r="L28" s="181"/>
      <c r="M28" s="110"/>
      <c r="N28" s="110"/>
      <c r="O28" s="110"/>
      <c r="P28" s="111"/>
      <c r="Q28" s="185"/>
      <c r="R28" s="184"/>
      <c r="S28" s="184"/>
      <c r="T28" s="161" t="s">
        <v>115</v>
      </c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4"/>
      <c r="AP28" s="154"/>
      <c r="AQ28" s="154"/>
      <c r="AR28" s="154"/>
      <c r="AS28" s="161"/>
      <c r="AT28" s="154"/>
      <c r="AU28" s="154"/>
      <c r="AV28" s="154"/>
      <c r="AW28" s="154"/>
      <c r="AX28" s="154"/>
      <c r="AY28" s="160"/>
      <c r="AZ28" s="160"/>
    </row>
    <row r="29" spans="1:52" ht="12" customHeight="1">
      <c r="A29" s="161"/>
      <c r="B29" s="112"/>
      <c r="C29" s="114"/>
      <c r="D29" s="115"/>
      <c r="E29" s="113"/>
      <c r="F29" s="113"/>
      <c r="G29" s="113"/>
      <c r="H29" s="113"/>
      <c r="I29" s="113"/>
      <c r="J29" s="113"/>
      <c r="K29" s="114"/>
      <c r="L29" s="112"/>
      <c r="M29" s="113"/>
      <c r="N29" s="113"/>
      <c r="O29" s="113"/>
      <c r="P29" s="114"/>
      <c r="Q29" s="146"/>
      <c r="R29" s="147"/>
      <c r="S29" s="147"/>
      <c r="T29" s="146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6"/>
      <c r="AT29" s="147"/>
      <c r="AU29" s="147"/>
      <c r="AV29" s="147"/>
      <c r="AW29" s="147"/>
      <c r="AX29" s="147"/>
      <c r="AY29" s="165"/>
      <c r="AZ29" s="160"/>
    </row>
    <row r="30" spans="1:52" s="154" customFormat="1" ht="12" customHeight="1">
      <c r="A30" s="161"/>
      <c r="B30" s="181">
        <v>10</v>
      </c>
      <c r="C30" s="111"/>
      <c r="D30" s="182" t="s">
        <v>116</v>
      </c>
      <c r="E30" s="110"/>
      <c r="F30" s="110"/>
      <c r="G30" s="110"/>
      <c r="H30" s="110"/>
      <c r="I30" s="110"/>
      <c r="J30" s="110"/>
      <c r="K30" s="111"/>
      <c r="L30" s="181"/>
      <c r="M30" s="110"/>
      <c r="N30" s="110"/>
      <c r="O30" s="110"/>
      <c r="P30" s="111"/>
      <c r="Q30" s="183"/>
      <c r="R30" s="184"/>
      <c r="S30" s="184"/>
      <c r="T30" s="161" t="s">
        <v>117</v>
      </c>
      <c r="AS30" s="161"/>
      <c r="AY30" s="160"/>
      <c r="AZ30" s="160"/>
    </row>
    <row r="31" spans="1:52" s="154" customFormat="1" ht="12" customHeight="1">
      <c r="A31" s="161"/>
      <c r="B31" s="112"/>
      <c r="C31" s="114"/>
      <c r="D31" s="112"/>
      <c r="E31" s="113"/>
      <c r="F31" s="113"/>
      <c r="G31" s="113"/>
      <c r="H31" s="113"/>
      <c r="I31" s="113"/>
      <c r="J31" s="113"/>
      <c r="K31" s="114"/>
      <c r="L31" s="112"/>
      <c r="M31" s="113"/>
      <c r="N31" s="113"/>
      <c r="O31" s="113"/>
      <c r="P31" s="114"/>
      <c r="Q31" s="146"/>
      <c r="R31" s="147"/>
      <c r="S31" s="147"/>
      <c r="T31" s="146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6"/>
      <c r="AT31" s="147"/>
      <c r="AU31" s="147"/>
      <c r="AV31" s="147"/>
      <c r="AW31" s="147"/>
      <c r="AX31" s="147"/>
      <c r="AY31" s="165"/>
      <c r="AZ31" s="160"/>
    </row>
    <row r="32" spans="1:52" ht="13.5">
      <c r="A32" s="186"/>
      <c r="B32" s="181">
        <v>11</v>
      </c>
      <c r="C32" s="111"/>
      <c r="D32" s="182" t="s">
        <v>118</v>
      </c>
      <c r="E32" s="110"/>
      <c r="F32" s="110"/>
      <c r="G32" s="110"/>
      <c r="H32" s="110"/>
      <c r="I32" s="110"/>
      <c r="J32" s="110"/>
      <c r="K32" s="111"/>
      <c r="L32" s="181"/>
      <c r="M32" s="110"/>
      <c r="N32" s="110"/>
      <c r="O32" s="110"/>
      <c r="P32" s="111"/>
      <c r="Q32" s="185"/>
      <c r="R32" s="184"/>
      <c r="S32" s="184"/>
      <c r="T32" s="161" t="s">
        <v>2</v>
      </c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4"/>
      <c r="AP32" s="154"/>
      <c r="AQ32" s="154"/>
      <c r="AR32" s="154"/>
      <c r="AS32" s="161"/>
      <c r="AT32" s="154"/>
      <c r="AU32" s="154"/>
      <c r="AV32" s="154"/>
      <c r="AW32" s="154"/>
      <c r="AX32" s="154"/>
      <c r="AY32" s="160"/>
      <c r="AZ32" s="187"/>
    </row>
    <row r="33" spans="1:52" ht="13.5">
      <c r="A33" s="186"/>
      <c r="B33" s="112"/>
      <c r="C33" s="114"/>
      <c r="D33" s="115"/>
      <c r="E33" s="113"/>
      <c r="F33" s="113"/>
      <c r="G33" s="113"/>
      <c r="H33" s="113"/>
      <c r="I33" s="113"/>
      <c r="J33" s="113"/>
      <c r="K33" s="114"/>
      <c r="L33" s="112"/>
      <c r="M33" s="113"/>
      <c r="N33" s="113"/>
      <c r="O33" s="113"/>
      <c r="P33" s="114"/>
      <c r="Q33" s="146"/>
      <c r="R33" s="147"/>
      <c r="S33" s="147"/>
      <c r="T33" s="146"/>
      <c r="U33" s="147"/>
      <c r="V33" s="147"/>
      <c r="W33" s="147"/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  <c r="AJ33" s="147"/>
      <c r="AK33" s="147"/>
      <c r="AL33" s="147"/>
      <c r="AM33" s="147"/>
      <c r="AN33" s="147"/>
      <c r="AO33" s="147"/>
      <c r="AP33" s="147"/>
      <c r="AQ33" s="147"/>
      <c r="AR33" s="147"/>
      <c r="AS33" s="146"/>
      <c r="AT33" s="147"/>
      <c r="AU33" s="147"/>
      <c r="AV33" s="147"/>
      <c r="AW33" s="147"/>
      <c r="AX33" s="147"/>
      <c r="AY33" s="165"/>
      <c r="AZ33" s="187"/>
    </row>
    <row r="34" spans="1:52" ht="13.5">
      <c r="A34" s="186"/>
      <c r="B34" s="181">
        <v>12</v>
      </c>
      <c r="C34" s="111"/>
      <c r="D34" s="182" t="s">
        <v>2</v>
      </c>
      <c r="E34" s="110"/>
      <c r="F34" s="110"/>
      <c r="G34" s="110"/>
      <c r="H34" s="110"/>
      <c r="I34" s="110"/>
      <c r="J34" s="110"/>
      <c r="K34" s="111"/>
      <c r="L34" s="181"/>
      <c r="M34" s="110"/>
      <c r="N34" s="110"/>
      <c r="O34" s="110"/>
      <c r="P34" s="111"/>
      <c r="Q34" s="185"/>
      <c r="R34" s="184"/>
      <c r="S34" s="184"/>
      <c r="T34" s="161" t="s">
        <v>2</v>
      </c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4"/>
      <c r="AQ34" s="154"/>
      <c r="AR34" s="154"/>
      <c r="AS34" s="161"/>
      <c r="AT34" s="154"/>
      <c r="AU34" s="154"/>
      <c r="AV34" s="154"/>
      <c r="AW34" s="154"/>
      <c r="AX34" s="154"/>
      <c r="AY34" s="160"/>
      <c r="AZ34" s="187"/>
    </row>
    <row r="35" spans="1:52" ht="13.5">
      <c r="A35" s="188"/>
      <c r="B35" s="112"/>
      <c r="C35" s="114"/>
      <c r="D35" s="112"/>
      <c r="E35" s="113"/>
      <c r="F35" s="113"/>
      <c r="G35" s="113"/>
      <c r="H35" s="113"/>
      <c r="I35" s="113"/>
      <c r="J35" s="113"/>
      <c r="K35" s="114"/>
      <c r="L35" s="112"/>
      <c r="M35" s="113"/>
      <c r="N35" s="113"/>
      <c r="O35" s="113"/>
      <c r="P35" s="114"/>
      <c r="Q35" s="146"/>
      <c r="R35" s="147"/>
      <c r="S35" s="147"/>
      <c r="T35" s="146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6"/>
      <c r="AT35" s="147"/>
      <c r="AU35" s="147"/>
      <c r="AV35" s="147"/>
      <c r="AW35" s="147"/>
      <c r="AX35" s="147"/>
      <c r="AY35" s="165"/>
      <c r="AZ35" s="189"/>
    </row>
    <row r="36" spans="1:52">
      <c r="A36" s="18"/>
      <c r="B36" s="18"/>
      <c r="C36" s="18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20"/>
      <c r="AA36" s="21"/>
      <c r="AB36" s="21"/>
      <c r="AC36" s="21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/>
      <c r="AO36" s="22"/>
      <c r="AP36" s="22"/>
      <c r="AQ36" s="22"/>
      <c r="AR36" s="22"/>
      <c r="AS36" s="22"/>
      <c r="AT36" s="22"/>
      <c r="AU36" s="22"/>
    </row>
    <row r="37" spans="1:52">
      <c r="A37" s="18"/>
      <c r="B37" s="166"/>
      <c r="C37" s="18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20"/>
      <c r="AA37" s="21"/>
      <c r="AB37" s="21"/>
      <c r="AC37" s="21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0"/>
      <c r="AO37" s="22"/>
      <c r="AP37" s="22"/>
      <c r="AQ37" s="22"/>
      <c r="AR37" s="22"/>
      <c r="AS37" s="22"/>
      <c r="AT37" s="22"/>
      <c r="AU37" s="22"/>
      <c r="AV37" s="22"/>
      <c r="AW37" s="22"/>
    </row>
    <row r="38" spans="1:52">
      <c r="A38" s="18"/>
      <c r="B38" s="18"/>
      <c r="C38" s="18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0"/>
      <c r="AA38" s="21"/>
      <c r="AB38" s="21"/>
      <c r="AC38" s="21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/>
      <c r="AO38" s="22"/>
      <c r="AP38" s="22"/>
      <c r="AQ38" s="22"/>
      <c r="AR38" s="22"/>
      <c r="AS38" s="22"/>
      <c r="AT38" s="22"/>
      <c r="AU38" s="22"/>
      <c r="AV38" s="22"/>
      <c r="AW38" s="22"/>
    </row>
    <row r="39" spans="1:52">
      <c r="A39" s="18"/>
      <c r="B39" s="18"/>
      <c r="C39" s="18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20"/>
      <c r="AA39" s="21"/>
      <c r="AB39" s="21"/>
      <c r="AC39" s="21"/>
      <c r="AD39" s="18"/>
      <c r="AE39" s="18"/>
      <c r="AF39" s="18"/>
      <c r="AG39" s="18"/>
      <c r="AH39" s="18"/>
      <c r="AI39" s="18"/>
      <c r="AJ39" s="18"/>
      <c r="AK39" s="18"/>
      <c r="AL39" s="20"/>
      <c r="AM39" s="20"/>
      <c r="AN39" s="20"/>
      <c r="AO39" s="22"/>
      <c r="AP39" s="22"/>
      <c r="AQ39" s="22"/>
      <c r="AR39" s="22"/>
      <c r="AS39" s="22"/>
      <c r="AT39" s="22"/>
      <c r="AU39" s="22"/>
      <c r="AV39" s="22"/>
      <c r="AW39" s="22"/>
    </row>
    <row r="40" spans="1:52">
      <c r="A40" s="18"/>
      <c r="B40" s="18"/>
      <c r="C40" s="18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20"/>
      <c r="AA40" s="21"/>
      <c r="AB40" s="21"/>
      <c r="AC40" s="21"/>
      <c r="AD40" s="18"/>
      <c r="AE40" s="18"/>
      <c r="AF40" s="18"/>
      <c r="AG40" s="18"/>
      <c r="AH40" s="18"/>
      <c r="AI40" s="18"/>
      <c r="AJ40" s="18"/>
      <c r="AK40" s="18"/>
      <c r="AL40" s="20"/>
      <c r="AM40" s="20"/>
      <c r="AN40" s="20"/>
      <c r="AO40" s="22"/>
      <c r="AP40" s="22"/>
      <c r="AQ40" s="22"/>
      <c r="AR40" s="22"/>
      <c r="AS40" s="22"/>
      <c r="AT40" s="22"/>
      <c r="AU40" s="22"/>
      <c r="AV40" s="22"/>
      <c r="AW40" s="22"/>
    </row>
    <row r="41" spans="1:52">
      <c r="A41" s="18"/>
      <c r="B41" s="18"/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20"/>
      <c r="AA41" s="21"/>
      <c r="AB41" s="21"/>
      <c r="AC41" s="21"/>
      <c r="AD41" s="18"/>
      <c r="AE41" s="18"/>
      <c r="AF41" s="18"/>
      <c r="AG41" s="18"/>
      <c r="AH41" s="18"/>
      <c r="AI41" s="18"/>
      <c r="AJ41" s="18"/>
      <c r="AK41" s="18"/>
      <c r="AL41" s="20"/>
      <c r="AM41" s="20"/>
      <c r="AN41" s="20"/>
      <c r="AO41" s="22"/>
      <c r="AP41" s="22"/>
      <c r="AQ41" s="22"/>
      <c r="AR41" s="22"/>
      <c r="AS41" s="22"/>
      <c r="AT41" s="22"/>
      <c r="AU41" s="22"/>
      <c r="AV41" s="22"/>
      <c r="AW41" s="22"/>
    </row>
    <row r="42" spans="1:52">
      <c r="A42" s="18"/>
      <c r="B42" s="18"/>
      <c r="C42" s="18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20"/>
      <c r="AA42" s="21"/>
      <c r="AB42" s="21"/>
      <c r="AC42" s="21"/>
      <c r="AD42" s="18"/>
      <c r="AE42" s="18"/>
      <c r="AF42" s="18"/>
      <c r="AG42" s="18"/>
      <c r="AH42" s="18"/>
      <c r="AI42" s="18"/>
      <c r="AJ42" s="18"/>
      <c r="AK42" s="18"/>
      <c r="AL42" s="20"/>
      <c r="AM42" s="20"/>
      <c r="AN42" s="20"/>
      <c r="AO42" s="22"/>
      <c r="AP42" s="22"/>
      <c r="AQ42" s="22"/>
      <c r="AR42" s="22"/>
      <c r="AS42" s="22"/>
      <c r="AT42" s="22"/>
      <c r="AU42" s="22"/>
      <c r="AV42" s="22"/>
      <c r="AW42" s="22"/>
    </row>
    <row r="43" spans="1:52">
      <c r="A43" s="18"/>
      <c r="B43" s="18"/>
      <c r="C43" s="18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20"/>
      <c r="AA43" s="21"/>
      <c r="AB43" s="21"/>
      <c r="AC43" s="21"/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/>
      <c r="AO43" s="22"/>
      <c r="AP43" s="22"/>
      <c r="AQ43" s="22"/>
      <c r="AR43" s="22"/>
      <c r="AS43" s="22"/>
      <c r="AT43" s="22"/>
      <c r="AU43" s="22"/>
      <c r="AV43" s="22"/>
      <c r="AW43" s="22"/>
    </row>
    <row r="44" spans="1:52">
      <c r="A44" s="18"/>
      <c r="B44" s="18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20"/>
      <c r="AA44" s="21"/>
      <c r="AB44" s="21"/>
      <c r="AC44" s="21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/>
      <c r="AO44" s="22"/>
      <c r="AP44" s="22"/>
      <c r="AQ44" s="22"/>
      <c r="AR44" s="22"/>
      <c r="AS44" s="22"/>
      <c r="AT44" s="22"/>
      <c r="AU44" s="22"/>
      <c r="AV44" s="22"/>
      <c r="AW44" s="22"/>
    </row>
    <row r="45" spans="1:52">
      <c r="A45" s="18"/>
      <c r="B45" s="18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20"/>
      <c r="AA45" s="21"/>
      <c r="AB45" s="21"/>
      <c r="AC45" s="21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/>
      <c r="AO45" s="22"/>
      <c r="AP45" s="22"/>
      <c r="AQ45" s="22"/>
      <c r="AR45" s="22"/>
      <c r="AS45" s="22"/>
      <c r="AT45" s="22"/>
      <c r="AU45" s="22"/>
      <c r="AV45" s="22"/>
      <c r="AW45" s="22"/>
    </row>
    <row r="46" spans="1:52">
      <c r="A46" s="18"/>
      <c r="B46" s="18"/>
      <c r="C46" s="18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20"/>
      <c r="AA46" s="21"/>
      <c r="AB46" s="21"/>
      <c r="AC46" s="21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0"/>
      <c r="AO46" s="22"/>
      <c r="AP46" s="22"/>
      <c r="AQ46" s="22"/>
      <c r="AR46" s="22"/>
      <c r="AS46" s="22"/>
      <c r="AT46" s="22"/>
      <c r="AU46" s="22"/>
      <c r="AV46" s="22"/>
      <c r="AW46" s="22"/>
    </row>
    <row r="47" spans="1:52">
      <c r="A47" s="18"/>
      <c r="B47" s="18"/>
      <c r="C47" s="18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20"/>
      <c r="AA47" s="21"/>
      <c r="AB47" s="21"/>
      <c r="AC47" s="21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/>
      <c r="AO47" s="22"/>
      <c r="AP47" s="22"/>
      <c r="AQ47" s="22"/>
      <c r="AR47" s="22"/>
      <c r="AS47" s="22"/>
      <c r="AT47" s="22"/>
      <c r="AU47" s="22"/>
      <c r="AV47" s="22"/>
      <c r="AW47" s="22"/>
    </row>
    <row r="48" spans="1:52">
      <c r="A48" s="18"/>
      <c r="B48" s="18"/>
      <c r="C48" s="18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20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0"/>
      <c r="AM48" s="20"/>
      <c r="AN48" s="20"/>
      <c r="AO48" s="22"/>
      <c r="AP48" s="22"/>
      <c r="AQ48" s="22"/>
      <c r="AR48" s="22"/>
      <c r="AS48" s="22"/>
      <c r="AT48" s="22"/>
      <c r="AU48" s="22"/>
      <c r="AV48" s="22"/>
      <c r="AW48" s="17"/>
    </row>
    <row r="49" spans="1:49">
      <c r="A49" s="18"/>
      <c r="B49" s="18"/>
      <c r="C49" s="18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20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0"/>
      <c r="AM49" s="20"/>
      <c r="AN49" s="20"/>
      <c r="AO49" s="22"/>
      <c r="AP49" s="22"/>
      <c r="AQ49" s="22"/>
      <c r="AR49" s="22"/>
      <c r="AS49" s="22"/>
      <c r="AT49" s="22"/>
      <c r="AU49" s="22"/>
      <c r="AV49" s="22"/>
      <c r="AW49" s="17"/>
    </row>
    <row r="50" spans="1:49">
      <c r="A50" s="18"/>
      <c r="B50" s="18"/>
      <c r="C50" s="18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20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0"/>
      <c r="AM50" s="20"/>
      <c r="AN50" s="20"/>
      <c r="AO50" s="22"/>
      <c r="AP50" s="22"/>
      <c r="AQ50" s="22"/>
      <c r="AR50" s="22"/>
      <c r="AS50" s="22"/>
      <c r="AT50" s="22"/>
      <c r="AU50" s="22"/>
      <c r="AV50" s="22"/>
      <c r="AW50" s="17"/>
    </row>
    <row r="51" spans="1:49">
      <c r="A51" s="18"/>
      <c r="B51" s="18"/>
      <c r="C51" s="18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20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0"/>
      <c r="AM51" s="20"/>
      <c r="AN51" s="20"/>
      <c r="AO51" s="22"/>
      <c r="AP51" s="22"/>
      <c r="AQ51" s="22"/>
      <c r="AR51" s="22"/>
      <c r="AS51" s="22"/>
      <c r="AT51" s="22"/>
      <c r="AU51" s="22"/>
      <c r="AV51" s="22"/>
      <c r="AW51" s="17"/>
    </row>
    <row r="52" spans="1:49">
      <c r="A52" s="18"/>
      <c r="B52" s="18"/>
      <c r="C52" s="18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20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0"/>
      <c r="AM52" s="20"/>
      <c r="AN52" s="20"/>
      <c r="AO52" s="22"/>
      <c r="AP52" s="22"/>
      <c r="AQ52" s="22"/>
      <c r="AR52" s="22"/>
      <c r="AS52" s="22"/>
      <c r="AT52" s="22"/>
      <c r="AU52" s="22"/>
      <c r="AV52" s="22"/>
      <c r="AW52" s="17"/>
    </row>
    <row r="53" spans="1:49">
      <c r="A53" s="18"/>
      <c r="B53" s="18"/>
      <c r="C53" s="18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20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0"/>
      <c r="AM53" s="20"/>
      <c r="AN53" s="20"/>
      <c r="AO53" s="22"/>
      <c r="AP53" s="22"/>
      <c r="AQ53" s="22"/>
      <c r="AR53" s="22"/>
      <c r="AS53" s="22"/>
      <c r="AT53" s="22"/>
      <c r="AU53" s="22"/>
      <c r="AV53" s="22"/>
      <c r="AW53" s="17"/>
    </row>
    <row r="54" spans="1:49">
      <c r="A54" s="18"/>
      <c r="B54" s="18"/>
      <c r="C54" s="18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20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0"/>
      <c r="AM54" s="20"/>
      <c r="AN54" s="20"/>
      <c r="AO54" s="22"/>
      <c r="AP54" s="22"/>
      <c r="AQ54" s="22"/>
      <c r="AR54" s="22"/>
      <c r="AS54" s="22"/>
      <c r="AT54" s="22"/>
      <c r="AU54" s="22"/>
      <c r="AV54" s="22"/>
      <c r="AW54" s="17"/>
    </row>
    <row r="55" spans="1:49">
      <c r="A55" s="18"/>
      <c r="B55" s="18"/>
      <c r="C55" s="18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20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0"/>
      <c r="AM55" s="20"/>
      <c r="AN55" s="20"/>
      <c r="AO55" s="22"/>
      <c r="AP55" s="22"/>
      <c r="AQ55" s="22"/>
      <c r="AR55" s="22"/>
      <c r="AS55" s="22"/>
      <c r="AT55" s="22"/>
      <c r="AU55" s="22"/>
      <c r="AV55" s="22"/>
      <c r="AW55" s="17"/>
    </row>
    <row r="56" spans="1:49">
      <c r="A56" s="18"/>
      <c r="B56" s="18"/>
      <c r="C56" s="18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20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0"/>
      <c r="AM56" s="20"/>
      <c r="AN56" s="20"/>
      <c r="AO56" s="22"/>
      <c r="AP56" s="22"/>
      <c r="AQ56" s="22"/>
      <c r="AR56" s="22"/>
      <c r="AS56" s="22"/>
      <c r="AT56" s="22"/>
      <c r="AU56" s="22"/>
      <c r="AV56" s="22"/>
      <c r="AW56" s="17"/>
    </row>
    <row r="57" spans="1:49">
      <c r="A57" s="18"/>
      <c r="B57" s="18"/>
      <c r="C57" s="18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20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0"/>
      <c r="AM57" s="20"/>
      <c r="AN57" s="20"/>
      <c r="AO57" s="22"/>
      <c r="AP57" s="22"/>
      <c r="AQ57" s="22"/>
      <c r="AR57" s="22"/>
      <c r="AS57" s="22"/>
      <c r="AT57" s="22"/>
      <c r="AU57" s="22"/>
      <c r="AV57" s="22"/>
      <c r="AW57" s="17"/>
    </row>
    <row r="58" spans="1:49">
      <c r="A58" s="18"/>
      <c r="B58" s="18"/>
      <c r="C58" s="18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20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0"/>
      <c r="AM58" s="20"/>
      <c r="AN58" s="20"/>
      <c r="AO58" s="22"/>
      <c r="AP58" s="22"/>
      <c r="AQ58" s="22"/>
      <c r="AR58" s="22"/>
      <c r="AS58" s="22"/>
      <c r="AT58" s="22"/>
      <c r="AU58" s="22"/>
      <c r="AV58" s="22"/>
      <c r="AW58" s="17"/>
    </row>
    <row r="59" spans="1:49">
      <c r="A59" s="18"/>
      <c r="B59" s="18"/>
      <c r="C59" s="18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20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0"/>
      <c r="AM59" s="20"/>
      <c r="AN59" s="20"/>
      <c r="AO59" s="22"/>
      <c r="AP59" s="22"/>
      <c r="AQ59" s="22"/>
      <c r="AR59" s="22"/>
      <c r="AS59" s="22"/>
      <c r="AT59" s="22"/>
      <c r="AU59" s="22"/>
      <c r="AV59" s="22"/>
      <c r="AW59" s="17"/>
    </row>
    <row r="60" spans="1:49">
      <c r="A60" s="18"/>
      <c r="B60" s="18"/>
      <c r="C60" s="18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20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0"/>
      <c r="AM60" s="20"/>
      <c r="AN60" s="20"/>
      <c r="AO60" s="22"/>
      <c r="AP60" s="22"/>
      <c r="AQ60" s="22"/>
      <c r="AR60" s="22"/>
      <c r="AS60" s="22"/>
      <c r="AT60" s="22"/>
      <c r="AU60" s="22"/>
      <c r="AV60" s="22"/>
      <c r="AW60" s="17"/>
    </row>
    <row r="61" spans="1:49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</row>
    <row r="62" spans="1:49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</row>
    <row r="63" spans="1:49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</row>
    <row r="64" spans="1:49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</row>
    <row r="65" spans="1:49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</row>
    <row r="66" spans="1:49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</row>
    <row r="67" spans="1:49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</row>
    <row r="68" spans="1:49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</row>
    <row r="69" spans="1:4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</row>
    <row r="70" spans="1:49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</row>
    <row r="71" spans="1:49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</row>
    <row r="72" spans="1:49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</row>
    <row r="73" spans="1:49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</row>
    <row r="74" spans="1:49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</row>
  </sheetData>
  <customSheetViews>
    <customSheetView guid="{A6ABB528-5CA4-4D4C-8A92-065340906B37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ゴシック,標準"&amp;10&amp;P-2
&amp;R&amp;"ＭＳ ゴシック,標準"&amp;6&amp;F/&amp;A</oddFooter>
      </headerFooter>
    </customSheetView>
    <customSheetView guid="{8E288406-DA20-4489-A100-6BF008027C94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ゴシック,標準"&amp;10&amp;P-2
&amp;R&amp;"ＭＳ ゴシック,標準"&amp;6&amp;F/&amp;A</oddFooter>
      </headerFooter>
    </customSheetView>
  </customSheetViews>
  <mergeCells count="29">
    <mergeCell ref="B10:C11"/>
    <mergeCell ref="D10:K11"/>
    <mergeCell ref="L10:P11"/>
    <mergeCell ref="AS1:AV1"/>
    <mergeCell ref="C1:P2"/>
    <mergeCell ref="Q2:R2"/>
    <mergeCell ref="S2:X2"/>
    <mergeCell ref="Y2:AC2"/>
    <mergeCell ref="AD2:AE2"/>
    <mergeCell ref="AS10:AY11"/>
    <mergeCell ref="AL1:AP1"/>
    <mergeCell ref="AQ1:AR1"/>
    <mergeCell ref="AW1:AZ1"/>
    <mergeCell ref="AW2:AZ2"/>
    <mergeCell ref="AF2:AK2"/>
    <mergeCell ref="Y1:AE1"/>
    <mergeCell ref="AS2:AV2"/>
    <mergeCell ref="Q20:S21"/>
    <mergeCell ref="Q26:S27"/>
    <mergeCell ref="Q10:S11"/>
    <mergeCell ref="T10:AR11"/>
    <mergeCell ref="T20:AR21"/>
    <mergeCell ref="AF1:AK1"/>
    <mergeCell ref="Q1:R1"/>
    <mergeCell ref="S1:X1"/>
    <mergeCell ref="T26:AR27"/>
    <mergeCell ref="T22:AR22"/>
    <mergeCell ref="AL2:AP2"/>
    <mergeCell ref="AQ2:AR2"/>
  </mergeCells>
  <phoneticPr fontId="2"/>
  <pageMargins left="0.59055118110236227" right="0.59055118110236227" top="0.78740157480314965" bottom="0.59055118110236227" header="0.51181102362204722" footer="0.31496062992125984"/>
  <pageSetup paperSize="9" fitToHeight="3" orientation="landscape" verticalDpi="360" r:id="rId3"/>
  <headerFooter alignWithMargins="0">
    <oddFooter>&amp;C&amp;"ＭＳ ゴシック,標準"&amp;10&amp;P-2
&amp;R&amp;"ＭＳ ゴシック,標準"&amp;6&amp;F/&amp;A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F26"/>
  <sheetViews>
    <sheetView showGridLines="0" view="pageBreakPreview" zoomScaleNormal="75" zoomScaleSheetLayoutView="100" workbookViewId="0">
      <selection activeCell="AU4" sqref="C1:AZ4"/>
    </sheetView>
  </sheetViews>
  <sheetFormatPr defaultColWidth="2.625" defaultRowHeight="12"/>
  <cols>
    <col min="1" max="1" width="2.625" style="135" customWidth="1"/>
    <col min="2" max="2" width="3" style="135" customWidth="1"/>
    <col min="3" max="27" width="2.625" style="135" customWidth="1"/>
    <col min="28" max="28" width="2.75" style="135" customWidth="1"/>
    <col min="29" max="29" width="3" style="135" customWidth="1"/>
    <col min="30" max="30" width="3.125" style="135" customWidth="1"/>
    <col min="31" max="42" width="2.625" style="135" customWidth="1"/>
    <col min="43" max="45" width="3.125" style="135" customWidth="1"/>
    <col min="46" max="51" width="2.625" style="135" customWidth="1"/>
    <col min="52" max="52" width="3.25" style="135" customWidth="1"/>
    <col min="53" max="53" width="5.875" style="135" bestFit="1" customWidth="1"/>
    <col min="54" max="54" width="10" style="135" customWidth="1"/>
    <col min="55" max="55" width="7.75" style="135" customWidth="1"/>
    <col min="56" max="16384" width="2.625" style="135"/>
  </cols>
  <sheetData>
    <row r="1" spans="1:58" ht="14.25" customHeight="1">
      <c r="A1" s="144" t="s">
        <v>135</v>
      </c>
      <c r="B1" s="145"/>
      <c r="C1" s="450" t="s">
        <v>100</v>
      </c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  <c r="Q1" s="452" t="s">
        <v>4</v>
      </c>
      <c r="R1" s="453"/>
      <c r="S1" s="441" t="s">
        <v>5</v>
      </c>
      <c r="T1" s="439"/>
      <c r="U1" s="439"/>
      <c r="V1" s="439"/>
      <c r="W1" s="439"/>
      <c r="X1" s="442"/>
      <c r="Y1" s="443">
        <f>目次!Y1</f>
        <v>45044</v>
      </c>
      <c r="Z1" s="444"/>
      <c r="AA1" s="444"/>
      <c r="AB1" s="444"/>
      <c r="AC1" s="444"/>
      <c r="AD1" s="444"/>
      <c r="AE1" s="445"/>
      <c r="AF1" s="446" t="s">
        <v>6</v>
      </c>
      <c r="AG1" s="447"/>
      <c r="AH1" s="447"/>
      <c r="AI1" s="447"/>
      <c r="AJ1" s="447"/>
      <c r="AK1" s="448"/>
      <c r="AL1" s="449" t="str">
        <f>目次!AL1</f>
        <v>徐</v>
      </c>
      <c r="AM1" s="439"/>
      <c r="AN1" s="439"/>
      <c r="AO1" s="439"/>
      <c r="AP1" s="439"/>
      <c r="AQ1" s="439" t="str">
        <f>目次!AQ1</f>
        <v>JNW</v>
      </c>
      <c r="AR1" s="440"/>
      <c r="AS1" s="441" t="s">
        <v>7</v>
      </c>
      <c r="AT1" s="439"/>
      <c r="AU1" s="439"/>
      <c r="AV1" s="442"/>
      <c r="AW1" s="443">
        <f>目次!AW1</f>
        <v>45027</v>
      </c>
      <c r="AX1" s="444"/>
      <c r="AY1" s="444"/>
      <c r="AZ1" s="445"/>
    </row>
    <row r="2" spans="1:58" ht="14.25" customHeight="1">
      <c r="A2" s="146"/>
      <c r="B2" s="147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Q2" s="454">
        <f>目次!Q2</f>
        <v>1</v>
      </c>
      <c r="R2" s="455"/>
      <c r="S2" s="446" t="s">
        <v>8</v>
      </c>
      <c r="T2" s="447"/>
      <c r="U2" s="447"/>
      <c r="V2" s="447"/>
      <c r="W2" s="447"/>
      <c r="X2" s="448"/>
      <c r="Y2" s="449" t="str">
        <f>目次!Y2</f>
        <v>福島　副部長</v>
      </c>
      <c r="Z2" s="439"/>
      <c r="AA2" s="439"/>
      <c r="AB2" s="439"/>
      <c r="AC2" s="439"/>
      <c r="AD2" s="439" t="str">
        <f>目次!AD2</f>
        <v>DIR</v>
      </c>
      <c r="AE2" s="440"/>
      <c r="AF2" s="446" t="s">
        <v>9</v>
      </c>
      <c r="AG2" s="447"/>
      <c r="AH2" s="447"/>
      <c r="AI2" s="447"/>
      <c r="AJ2" s="447"/>
      <c r="AK2" s="448"/>
      <c r="AL2" s="449" t="str">
        <f>目次!AL2</f>
        <v>徐</v>
      </c>
      <c r="AM2" s="439"/>
      <c r="AN2" s="439"/>
      <c r="AO2" s="439"/>
      <c r="AP2" s="439"/>
      <c r="AQ2" s="439" t="str">
        <f>目次!AQ2</f>
        <v>JNW</v>
      </c>
      <c r="AR2" s="440"/>
      <c r="AS2" s="441" t="s">
        <v>10</v>
      </c>
      <c r="AT2" s="439"/>
      <c r="AU2" s="439"/>
      <c r="AV2" s="442"/>
      <c r="AW2" s="443">
        <f>目次!AW2</f>
        <v>45027</v>
      </c>
      <c r="AX2" s="444"/>
      <c r="AY2" s="444"/>
      <c r="AZ2" s="445"/>
    </row>
    <row r="3" spans="1:58" ht="14.25">
      <c r="A3" s="148" t="s">
        <v>90</v>
      </c>
      <c r="B3" s="149"/>
      <c r="C3" s="150"/>
      <c r="D3" s="150"/>
      <c r="E3" s="150"/>
      <c r="F3" s="151" t="s">
        <v>91</v>
      </c>
      <c r="G3" s="152"/>
      <c r="H3" s="152"/>
      <c r="I3" s="152"/>
      <c r="J3" s="152"/>
      <c r="K3" s="152"/>
      <c r="L3" s="152"/>
      <c r="M3" s="152"/>
      <c r="N3" s="152"/>
      <c r="O3" s="153"/>
      <c r="P3" s="152"/>
      <c r="Q3" s="152"/>
      <c r="R3" s="152"/>
      <c r="S3" s="152"/>
      <c r="T3" s="152"/>
      <c r="U3" s="152"/>
      <c r="V3" s="152"/>
      <c r="W3" s="190" t="s">
        <v>101</v>
      </c>
      <c r="X3" s="191"/>
      <c r="Y3" s="192"/>
      <c r="Z3" s="192"/>
      <c r="AA3" s="192"/>
      <c r="AB3" s="193"/>
      <c r="AC3" s="194" t="s">
        <v>102</v>
      </c>
      <c r="AD3" s="195"/>
      <c r="AE3" s="196"/>
      <c r="AF3" s="196"/>
      <c r="AG3" s="196"/>
      <c r="AH3" s="197"/>
      <c r="AI3" s="190" t="s">
        <v>103</v>
      </c>
      <c r="AJ3" s="191"/>
      <c r="AK3" s="192"/>
      <c r="AL3" s="192"/>
      <c r="AM3" s="192"/>
      <c r="AN3" s="193"/>
      <c r="AO3" s="194" t="s">
        <v>104</v>
      </c>
      <c r="AP3" s="195"/>
      <c r="AQ3" s="196"/>
      <c r="AR3" s="196"/>
      <c r="AS3" s="196"/>
      <c r="AT3" s="197"/>
      <c r="AU3" s="190" t="s">
        <v>105</v>
      </c>
      <c r="AV3" s="191"/>
      <c r="AW3" s="192"/>
      <c r="AX3" s="192"/>
      <c r="AY3" s="192"/>
      <c r="AZ3" s="193"/>
    </row>
    <row r="4" spans="1:58" ht="14.25">
      <c r="A4" s="179" t="str">
        <f>目次!A4</f>
        <v>MAET86S1</v>
      </c>
      <c r="B4" s="156"/>
      <c r="C4" s="157"/>
      <c r="D4" s="157"/>
      <c r="E4" s="157"/>
      <c r="F4" s="560" t="str">
        <f>目次!F4</f>
        <v>ＡＣＰ同一人識別番号付加処理</v>
      </c>
      <c r="G4" s="561"/>
      <c r="H4" s="561"/>
      <c r="I4" s="561"/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2"/>
      <c r="W4" s="540">
        <v>209</v>
      </c>
      <c r="X4" s="541"/>
      <c r="Y4" s="541"/>
      <c r="Z4" s="541"/>
      <c r="AA4" s="541"/>
      <c r="AB4" s="542"/>
      <c r="AC4" s="566">
        <f>W4/1000*30</f>
        <v>6.27</v>
      </c>
      <c r="AD4" s="567"/>
      <c r="AE4" s="567"/>
      <c r="AF4" s="567"/>
      <c r="AG4" s="567"/>
      <c r="AH4" s="568"/>
      <c r="AI4" s="540">
        <f>SUM(AE11:AE24)</f>
        <v>10</v>
      </c>
      <c r="AJ4" s="541"/>
      <c r="AK4" s="541"/>
      <c r="AL4" s="541"/>
      <c r="AM4" s="541"/>
      <c r="AN4" s="542"/>
      <c r="AO4" s="569">
        <f>W4/1000*1.5</f>
        <v>0.3135</v>
      </c>
      <c r="AP4" s="570"/>
      <c r="AQ4" s="570"/>
      <c r="AR4" s="570"/>
      <c r="AS4" s="570"/>
      <c r="AT4" s="571"/>
      <c r="AU4" s="540">
        <v>0</v>
      </c>
      <c r="AV4" s="541"/>
      <c r="AW4" s="541"/>
      <c r="AX4" s="541"/>
      <c r="AY4" s="541"/>
      <c r="AZ4" s="542"/>
    </row>
    <row r="5" spans="1:58" ht="12" customHeight="1"/>
    <row r="6" spans="1:58" ht="12" customHeight="1"/>
    <row r="7" spans="1:58" ht="12" customHeight="1"/>
    <row r="8" spans="1:58" ht="12.75" thickBot="1">
      <c r="A8" s="17" t="s">
        <v>106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</row>
    <row r="9" spans="1:58" ht="13.5" customHeight="1">
      <c r="A9" s="543" t="s">
        <v>84</v>
      </c>
      <c r="B9" s="544"/>
      <c r="C9" s="550" t="s">
        <v>11</v>
      </c>
      <c r="D9" s="551"/>
      <c r="E9" s="551"/>
      <c r="F9" s="551"/>
      <c r="G9" s="551"/>
      <c r="H9" s="551"/>
      <c r="I9" s="551"/>
      <c r="J9" s="551"/>
      <c r="K9" s="551"/>
      <c r="L9" s="551"/>
      <c r="M9" s="551"/>
      <c r="N9" s="551"/>
      <c r="O9" s="551"/>
      <c r="P9" s="551"/>
      <c r="Q9" s="551"/>
      <c r="R9" s="551"/>
      <c r="S9" s="551"/>
      <c r="T9" s="551"/>
      <c r="U9" s="551"/>
      <c r="V9" s="551"/>
      <c r="W9" s="551"/>
      <c r="X9" s="551"/>
      <c r="Y9" s="551"/>
      <c r="Z9" s="551"/>
      <c r="AA9" s="551"/>
      <c r="AB9" s="551"/>
      <c r="AC9" s="551"/>
      <c r="AD9" s="552"/>
      <c r="AE9" s="198" t="s">
        <v>12</v>
      </c>
      <c r="AF9" s="532" t="s">
        <v>85</v>
      </c>
      <c r="AG9" s="551"/>
      <c r="AH9" s="552"/>
      <c r="AI9" s="556" t="s">
        <v>107</v>
      </c>
      <c r="AJ9" s="557"/>
      <c r="AK9" s="557"/>
      <c r="AL9" s="558"/>
      <c r="AM9" s="563" t="s">
        <v>108</v>
      </c>
      <c r="AN9" s="564"/>
      <c r="AO9" s="564"/>
      <c r="AP9" s="565"/>
      <c r="AQ9" s="532" t="s">
        <v>14</v>
      </c>
      <c r="AR9" s="533"/>
      <c r="AS9" s="538"/>
      <c r="AT9" s="532" t="s">
        <v>15</v>
      </c>
      <c r="AU9" s="533"/>
      <c r="AV9" s="533"/>
      <c r="AW9" s="538"/>
      <c r="AX9" s="532" t="s">
        <v>86</v>
      </c>
      <c r="AY9" s="533"/>
      <c r="AZ9" s="534"/>
      <c r="BA9" s="207"/>
      <c r="BB9" s="207"/>
      <c r="BC9" s="207"/>
      <c r="BD9" s="207"/>
      <c r="BE9" s="207"/>
      <c r="BF9" s="207"/>
    </row>
    <row r="10" spans="1:58" ht="13.5" customHeight="1" thickBot="1">
      <c r="A10" s="545"/>
      <c r="B10" s="546"/>
      <c r="C10" s="553"/>
      <c r="D10" s="554"/>
      <c r="E10" s="554"/>
      <c r="F10" s="554"/>
      <c r="G10" s="554"/>
      <c r="H10" s="554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5"/>
      <c r="AE10" s="199" t="s">
        <v>13</v>
      </c>
      <c r="AF10" s="559"/>
      <c r="AG10" s="554"/>
      <c r="AH10" s="555"/>
      <c r="AI10" s="547" t="s">
        <v>131</v>
      </c>
      <c r="AJ10" s="548"/>
      <c r="AK10" s="548"/>
      <c r="AL10" s="549"/>
      <c r="AM10" s="547" t="s">
        <v>109</v>
      </c>
      <c r="AN10" s="548"/>
      <c r="AO10" s="548"/>
      <c r="AP10" s="549"/>
      <c r="AQ10" s="535"/>
      <c r="AR10" s="536"/>
      <c r="AS10" s="539"/>
      <c r="AT10" s="535"/>
      <c r="AU10" s="536"/>
      <c r="AV10" s="536"/>
      <c r="AW10" s="539"/>
      <c r="AX10" s="535"/>
      <c r="AY10" s="536"/>
      <c r="AZ10" s="537"/>
      <c r="BA10" s="209"/>
      <c r="BB10" s="207"/>
      <c r="BC10" s="207"/>
      <c r="BD10" s="207"/>
      <c r="BE10" s="207"/>
      <c r="BF10" s="207"/>
    </row>
    <row r="11" spans="1:58" s="207" customFormat="1" ht="14.25" customHeight="1">
      <c r="A11" s="502" t="s">
        <v>145</v>
      </c>
      <c r="B11" s="503"/>
      <c r="C11" s="506" t="s">
        <v>188</v>
      </c>
      <c r="D11" s="507"/>
      <c r="E11" s="507"/>
      <c r="F11" s="507"/>
      <c r="G11" s="507"/>
      <c r="H11" s="50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  <c r="Z11" s="507"/>
      <c r="AA11" s="507"/>
      <c r="AB11" s="507"/>
      <c r="AC11" s="507"/>
      <c r="AD11" s="508"/>
      <c r="AE11" s="512">
        <v>1</v>
      </c>
      <c r="AF11" s="514" t="s">
        <v>156</v>
      </c>
      <c r="AG11" s="515"/>
      <c r="AH11" s="516"/>
      <c r="AI11" s="499">
        <v>45027</v>
      </c>
      <c r="AJ11" s="500"/>
      <c r="AK11" s="500"/>
      <c r="AL11" s="501"/>
      <c r="AM11" s="499">
        <v>45027</v>
      </c>
      <c r="AN11" s="500"/>
      <c r="AO11" s="500"/>
      <c r="AP11" s="501"/>
      <c r="AQ11" s="327" t="s">
        <v>274</v>
      </c>
      <c r="AR11" s="331"/>
      <c r="AS11" s="345"/>
      <c r="AT11" s="520">
        <v>45027</v>
      </c>
      <c r="AU11" s="521"/>
      <c r="AV11" s="521"/>
      <c r="AW11" s="522"/>
      <c r="AX11" s="526" t="s">
        <v>265</v>
      </c>
      <c r="AY11" s="527"/>
      <c r="AZ11" s="528"/>
      <c r="BA11" s="497"/>
    </row>
    <row r="12" spans="1:58" s="207" customFormat="1" ht="14.25" customHeight="1">
      <c r="A12" s="504"/>
      <c r="B12" s="505"/>
      <c r="C12" s="509"/>
      <c r="D12" s="510"/>
      <c r="E12" s="510"/>
      <c r="F12" s="510"/>
      <c r="G12" s="510"/>
      <c r="H12" s="510"/>
      <c r="I12" s="510"/>
      <c r="J12" s="510"/>
      <c r="K12" s="510"/>
      <c r="L12" s="510"/>
      <c r="M12" s="510"/>
      <c r="N12" s="510"/>
      <c r="O12" s="510"/>
      <c r="P12" s="510"/>
      <c r="Q12" s="510"/>
      <c r="R12" s="510"/>
      <c r="S12" s="510"/>
      <c r="T12" s="510"/>
      <c r="U12" s="510"/>
      <c r="V12" s="510"/>
      <c r="W12" s="510"/>
      <c r="X12" s="510"/>
      <c r="Y12" s="510"/>
      <c r="Z12" s="510"/>
      <c r="AA12" s="510"/>
      <c r="AB12" s="510"/>
      <c r="AC12" s="510"/>
      <c r="AD12" s="511"/>
      <c r="AE12" s="513"/>
      <c r="AF12" s="517"/>
      <c r="AG12" s="518"/>
      <c r="AH12" s="519"/>
      <c r="AI12" s="499">
        <v>45027</v>
      </c>
      <c r="AJ12" s="500"/>
      <c r="AK12" s="500"/>
      <c r="AL12" s="501"/>
      <c r="AM12" s="499">
        <v>45027</v>
      </c>
      <c r="AN12" s="500"/>
      <c r="AO12" s="500"/>
      <c r="AP12" s="501"/>
      <c r="AQ12" s="349"/>
      <c r="AR12" s="350"/>
      <c r="AS12" s="351"/>
      <c r="AT12" s="523"/>
      <c r="AU12" s="524"/>
      <c r="AV12" s="524"/>
      <c r="AW12" s="525"/>
      <c r="AX12" s="529"/>
      <c r="AY12" s="530"/>
      <c r="AZ12" s="531"/>
      <c r="BA12" s="498"/>
    </row>
    <row r="13" spans="1:58" s="207" customFormat="1" ht="14.25" customHeight="1">
      <c r="A13" s="502" t="s">
        <v>157</v>
      </c>
      <c r="B13" s="503"/>
      <c r="C13" s="506" t="s">
        <v>186</v>
      </c>
      <c r="D13" s="507"/>
      <c r="E13" s="507"/>
      <c r="F13" s="507"/>
      <c r="G13" s="507"/>
      <c r="H13" s="507"/>
      <c r="I13" s="507"/>
      <c r="J13" s="507"/>
      <c r="K13" s="507"/>
      <c r="L13" s="507"/>
      <c r="M13" s="507"/>
      <c r="N13" s="507"/>
      <c r="O13" s="507"/>
      <c r="P13" s="507"/>
      <c r="Q13" s="507"/>
      <c r="R13" s="507"/>
      <c r="S13" s="507"/>
      <c r="T13" s="507"/>
      <c r="U13" s="507"/>
      <c r="V13" s="507"/>
      <c r="W13" s="507"/>
      <c r="X13" s="507"/>
      <c r="Y13" s="507"/>
      <c r="Z13" s="507"/>
      <c r="AA13" s="507"/>
      <c r="AB13" s="507"/>
      <c r="AC13" s="507"/>
      <c r="AD13" s="508"/>
      <c r="AE13" s="512">
        <v>1</v>
      </c>
      <c r="AF13" s="514" t="s">
        <v>156</v>
      </c>
      <c r="AG13" s="515"/>
      <c r="AH13" s="516"/>
      <c r="AI13" s="499">
        <v>45027</v>
      </c>
      <c r="AJ13" s="500"/>
      <c r="AK13" s="500"/>
      <c r="AL13" s="501"/>
      <c r="AM13" s="499">
        <v>45027</v>
      </c>
      <c r="AN13" s="500"/>
      <c r="AO13" s="500"/>
      <c r="AP13" s="501"/>
      <c r="AQ13" s="327" t="s">
        <v>275</v>
      </c>
      <c r="AR13" s="331"/>
      <c r="AS13" s="345"/>
      <c r="AT13" s="520">
        <v>45027</v>
      </c>
      <c r="AU13" s="521"/>
      <c r="AV13" s="521"/>
      <c r="AW13" s="522"/>
      <c r="AX13" s="526" t="s">
        <v>266</v>
      </c>
      <c r="AY13" s="527"/>
      <c r="AZ13" s="528"/>
      <c r="BA13" s="497"/>
    </row>
    <row r="14" spans="1:58" s="207" customFormat="1" ht="14.25" customHeight="1">
      <c r="A14" s="504"/>
      <c r="B14" s="505"/>
      <c r="C14" s="509"/>
      <c r="D14" s="510"/>
      <c r="E14" s="510"/>
      <c r="F14" s="510"/>
      <c r="G14" s="510"/>
      <c r="H14" s="510"/>
      <c r="I14" s="510"/>
      <c r="J14" s="510"/>
      <c r="K14" s="510"/>
      <c r="L14" s="510"/>
      <c r="M14" s="510"/>
      <c r="N14" s="510"/>
      <c r="O14" s="510"/>
      <c r="P14" s="510"/>
      <c r="Q14" s="510"/>
      <c r="R14" s="510"/>
      <c r="S14" s="510"/>
      <c r="T14" s="510"/>
      <c r="U14" s="510"/>
      <c r="V14" s="510"/>
      <c r="W14" s="510"/>
      <c r="X14" s="510"/>
      <c r="Y14" s="510"/>
      <c r="Z14" s="510"/>
      <c r="AA14" s="510"/>
      <c r="AB14" s="510"/>
      <c r="AC14" s="510"/>
      <c r="AD14" s="511"/>
      <c r="AE14" s="513"/>
      <c r="AF14" s="517"/>
      <c r="AG14" s="518"/>
      <c r="AH14" s="519"/>
      <c r="AI14" s="499">
        <v>45027</v>
      </c>
      <c r="AJ14" s="500"/>
      <c r="AK14" s="500"/>
      <c r="AL14" s="501"/>
      <c r="AM14" s="499">
        <v>45027</v>
      </c>
      <c r="AN14" s="500"/>
      <c r="AO14" s="500"/>
      <c r="AP14" s="501"/>
      <c r="AQ14" s="349"/>
      <c r="AR14" s="350"/>
      <c r="AS14" s="351"/>
      <c r="AT14" s="523"/>
      <c r="AU14" s="524"/>
      <c r="AV14" s="524"/>
      <c r="AW14" s="525"/>
      <c r="AX14" s="529"/>
      <c r="AY14" s="530"/>
      <c r="AZ14" s="531"/>
      <c r="BA14" s="498"/>
    </row>
    <row r="15" spans="1:58" s="207" customFormat="1" ht="14.25" customHeight="1">
      <c r="A15" s="502" t="s">
        <v>158</v>
      </c>
      <c r="B15" s="503"/>
      <c r="C15" s="506" t="s">
        <v>187</v>
      </c>
      <c r="D15" s="507"/>
      <c r="E15" s="507"/>
      <c r="F15" s="507"/>
      <c r="G15" s="507"/>
      <c r="H15" s="507"/>
      <c r="I15" s="507"/>
      <c r="J15" s="507"/>
      <c r="K15" s="507"/>
      <c r="L15" s="507"/>
      <c r="M15" s="507"/>
      <c r="N15" s="507"/>
      <c r="O15" s="507"/>
      <c r="P15" s="507"/>
      <c r="Q15" s="507"/>
      <c r="R15" s="507"/>
      <c r="S15" s="507"/>
      <c r="T15" s="507"/>
      <c r="U15" s="507"/>
      <c r="V15" s="507"/>
      <c r="W15" s="507"/>
      <c r="X15" s="507"/>
      <c r="Y15" s="507"/>
      <c r="Z15" s="507"/>
      <c r="AA15" s="507"/>
      <c r="AB15" s="507"/>
      <c r="AC15" s="507"/>
      <c r="AD15" s="508"/>
      <c r="AE15" s="512">
        <v>1</v>
      </c>
      <c r="AF15" s="514" t="s">
        <v>156</v>
      </c>
      <c r="AG15" s="515"/>
      <c r="AH15" s="516"/>
      <c r="AI15" s="499">
        <v>45027</v>
      </c>
      <c r="AJ15" s="500"/>
      <c r="AK15" s="500"/>
      <c r="AL15" s="501"/>
      <c r="AM15" s="499">
        <v>45027</v>
      </c>
      <c r="AN15" s="500"/>
      <c r="AO15" s="500"/>
      <c r="AP15" s="501"/>
      <c r="AQ15" s="327" t="s">
        <v>274</v>
      </c>
      <c r="AR15" s="331"/>
      <c r="AS15" s="345"/>
      <c r="AT15" s="520">
        <v>45027</v>
      </c>
      <c r="AU15" s="521"/>
      <c r="AV15" s="521"/>
      <c r="AW15" s="522"/>
      <c r="AX15" s="526" t="s">
        <v>266</v>
      </c>
      <c r="AY15" s="527"/>
      <c r="AZ15" s="528"/>
      <c r="BA15" s="497"/>
    </row>
    <row r="16" spans="1:58" s="207" customFormat="1" ht="14.25" customHeight="1">
      <c r="A16" s="504"/>
      <c r="B16" s="505"/>
      <c r="C16" s="509"/>
      <c r="D16" s="510"/>
      <c r="E16" s="510"/>
      <c r="F16" s="510"/>
      <c r="G16" s="510"/>
      <c r="H16" s="510"/>
      <c r="I16" s="510"/>
      <c r="J16" s="510"/>
      <c r="K16" s="510"/>
      <c r="L16" s="510"/>
      <c r="M16" s="510"/>
      <c r="N16" s="510"/>
      <c r="O16" s="510"/>
      <c r="P16" s="510"/>
      <c r="Q16" s="510"/>
      <c r="R16" s="510"/>
      <c r="S16" s="510"/>
      <c r="T16" s="510"/>
      <c r="U16" s="510"/>
      <c r="V16" s="510"/>
      <c r="W16" s="510"/>
      <c r="X16" s="510"/>
      <c r="Y16" s="510"/>
      <c r="Z16" s="510"/>
      <c r="AA16" s="510"/>
      <c r="AB16" s="510"/>
      <c r="AC16" s="510"/>
      <c r="AD16" s="511"/>
      <c r="AE16" s="513"/>
      <c r="AF16" s="517"/>
      <c r="AG16" s="518"/>
      <c r="AH16" s="519"/>
      <c r="AI16" s="499">
        <v>45027</v>
      </c>
      <c r="AJ16" s="500"/>
      <c r="AK16" s="500"/>
      <c r="AL16" s="501"/>
      <c r="AM16" s="499">
        <v>45027</v>
      </c>
      <c r="AN16" s="500"/>
      <c r="AO16" s="500"/>
      <c r="AP16" s="501"/>
      <c r="AQ16" s="349"/>
      <c r="AR16" s="350"/>
      <c r="AS16" s="351"/>
      <c r="AT16" s="523"/>
      <c r="AU16" s="524"/>
      <c r="AV16" s="524"/>
      <c r="AW16" s="525"/>
      <c r="AX16" s="529"/>
      <c r="AY16" s="530"/>
      <c r="AZ16" s="531"/>
      <c r="BA16" s="498"/>
    </row>
    <row r="17" spans="1:58" s="207" customFormat="1" ht="14.25" customHeight="1">
      <c r="A17" s="502" t="s">
        <v>160</v>
      </c>
      <c r="B17" s="503"/>
      <c r="C17" s="506" t="s">
        <v>179</v>
      </c>
      <c r="D17" s="507"/>
      <c r="E17" s="507"/>
      <c r="F17" s="507"/>
      <c r="G17" s="507"/>
      <c r="H17" s="507"/>
      <c r="I17" s="507"/>
      <c r="J17" s="507"/>
      <c r="K17" s="507"/>
      <c r="L17" s="507"/>
      <c r="M17" s="507"/>
      <c r="N17" s="507"/>
      <c r="O17" s="507"/>
      <c r="P17" s="507"/>
      <c r="Q17" s="507"/>
      <c r="R17" s="507"/>
      <c r="S17" s="507"/>
      <c r="T17" s="507"/>
      <c r="U17" s="507"/>
      <c r="V17" s="507"/>
      <c r="W17" s="507"/>
      <c r="X17" s="507"/>
      <c r="Y17" s="507"/>
      <c r="Z17" s="507"/>
      <c r="AA17" s="507"/>
      <c r="AB17" s="507"/>
      <c r="AC17" s="507"/>
      <c r="AD17" s="508"/>
      <c r="AE17" s="512">
        <v>6</v>
      </c>
      <c r="AF17" s="514" t="s">
        <v>182</v>
      </c>
      <c r="AG17" s="515"/>
      <c r="AH17" s="516"/>
      <c r="AI17" s="499">
        <v>45027</v>
      </c>
      <c r="AJ17" s="500"/>
      <c r="AK17" s="500"/>
      <c r="AL17" s="501"/>
      <c r="AM17" s="499">
        <v>45027</v>
      </c>
      <c r="AN17" s="500"/>
      <c r="AO17" s="500"/>
      <c r="AP17" s="501"/>
      <c r="AQ17" s="327" t="s">
        <v>275</v>
      </c>
      <c r="AR17" s="331"/>
      <c r="AS17" s="345"/>
      <c r="AT17" s="520">
        <v>45027</v>
      </c>
      <c r="AU17" s="521"/>
      <c r="AV17" s="521"/>
      <c r="AW17" s="522"/>
      <c r="AX17" s="526" t="s">
        <v>266</v>
      </c>
      <c r="AY17" s="527"/>
      <c r="AZ17" s="528"/>
      <c r="BA17" s="497"/>
    </row>
    <row r="18" spans="1:58" s="207" customFormat="1" ht="14.25" customHeight="1">
      <c r="A18" s="504"/>
      <c r="B18" s="505"/>
      <c r="C18" s="509"/>
      <c r="D18" s="510"/>
      <c r="E18" s="510"/>
      <c r="F18" s="510"/>
      <c r="G18" s="510"/>
      <c r="H18" s="510"/>
      <c r="I18" s="510"/>
      <c r="J18" s="510"/>
      <c r="K18" s="510"/>
      <c r="L18" s="510"/>
      <c r="M18" s="510"/>
      <c r="N18" s="510"/>
      <c r="O18" s="510"/>
      <c r="P18" s="510"/>
      <c r="Q18" s="510"/>
      <c r="R18" s="510"/>
      <c r="S18" s="510"/>
      <c r="T18" s="510"/>
      <c r="U18" s="510"/>
      <c r="V18" s="510"/>
      <c r="W18" s="510"/>
      <c r="X18" s="510"/>
      <c r="Y18" s="510"/>
      <c r="Z18" s="510"/>
      <c r="AA18" s="510"/>
      <c r="AB18" s="510"/>
      <c r="AC18" s="510"/>
      <c r="AD18" s="511"/>
      <c r="AE18" s="513"/>
      <c r="AF18" s="517"/>
      <c r="AG18" s="518"/>
      <c r="AH18" s="519"/>
      <c r="AI18" s="499">
        <v>45027</v>
      </c>
      <c r="AJ18" s="500"/>
      <c r="AK18" s="500"/>
      <c r="AL18" s="501"/>
      <c r="AM18" s="499">
        <v>45027</v>
      </c>
      <c r="AN18" s="500"/>
      <c r="AO18" s="500"/>
      <c r="AP18" s="501"/>
      <c r="AQ18" s="349"/>
      <c r="AR18" s="350"/>
      <c r="AS18" s="351"/>
      <c r="AT18" s="523"/>
      <c r="AU18" s="524"/>
      <c r="AV18" s="524"/>
      <c r="AW18" s="525"/>
      <c r="AX18" s="529"/>
      <c r="AY18" s="530"/>
      <c r="AZ18" s="531"/>
      <c r="BA18" s="498"/>
    </row>
    <row r="19" spans="1:58" s="207" customFormat="1" ht="14.25" customHeight="1">
      <c r="A19" s="502" t="s">
        <v>181</v>
      </c>
      <c r="B19" s="503"/>
      <c r="C19" s="506" t="s">
        <v>180</v>
      </c>
      <c r="D19" s="507"/>
      <c r="E19" s="507"/>
      <c r="F19" s="507"/>
      <c r="G19" s="507"/>
      <c r="H19" s="507"/>
      <c r="I19" s="507"/>
      <c r="J19" s="507"/>
      <c r="K19" s="507"/>
      <c r="L19" s="507"/>
      <c r="M19" s="507"/>
      <c r="N19" s="507"/>
      <c r="O19" s="507"/>
      <c r="P19" s="507"/>
      <c r="Q19" s="507"/>
      <c r="R19" s="507"/>
      <c r="S19" s="507"/>
      <c r="T19" s="507"/>
      <c r="U19" s="507"/>
      <c r="V19" s="507"/>
      <c r="W19" s="507"/>
      <c r="X19" s="507"/>
      <c r="Y19" s="507"/>
      <c r="Z19" s="507"/>
      <c r="AA19" s="507"/>
      <c r="AB19" s="507"/>
      <c r="AC19" s="507"/>
      <c r="AD19" s="508"/>
      <c r="AE19" s="512">
        <v>1</v>
      </c>
      <c r="AF19" s="514" t="s">
        <v>80</v>
      </c>
      <c r="AG19" s="515"/>
      <c r="AH19" s="516"/>
      <c r="AI19" s="499">
        <v>45027</v>
      </c>
      <c r="AJ19" s="500"/>
      <c r="AK19" s="500"/>
      <c r="AL19" s="501"/>
      <c r="AM19" s="499">
        <v>45027</v>
      </c>
      <c r="AN19" s="500"/>
      <c r="AO19" s="500"/>
      <c r="AP19" s="501"/>
      <c r="AQ19" s="327" t="s">
        <v>275</v>
      </c>
      <c r="AR19" s="331"/>
      <c r="AS19" s="345"/>
      <c r="AT19" s="520">
        <v>45027</v>
      </c>
      <c r="AU19" s="521"/>
      <c r="AV19" s="521"/>
      <c r="AW19" s="522"/>
      <c r="AX19" s="526" t="s">
        <v>266</v>
      </c>
      <c r="AY19" s="527"/>
      <c r="AZ19" s="528"/>
      <c r="BA19" s="497"/>
    </row>
    <row r="20" spans="1:58" s="207" customFormat="1" ht="14.25" customHeight="1">
      <c r="A20" s="504"/>
      <c r="B20" s="505"/>
      <c r="C20" s="509"/>
      <c r="D20" s="510"/>
      <c r="E20" s="510"/>
      <c r="F20" s="510"/>
      <c r="G20" s="510"/>
      <c r="H20" s="510"/>
      <c r="I20" s="510"/>
      <c r="J20" s="510"/>
      <c r="K20" s="510"/>
      <c r="L20" s="510"/>
      <c r="M20" s="510"/>
      <c r="N20" s="510"/>
      <c r="O20" s="510"/>
      <c r="P20" s="510"/>
      <c r="Q20" s="510"/>
      <c r="R20" s="510"/>
      <c r="S20" s="510"/>
      <c r="T20" s="510"/>
      <c r="U20" s="510"/>
      <c r="V20" s="510"/>
      <c r="W20" s="510"/>
      <c r="X20" s="510"/>
      <c r="Y20" s="510"/>
      <c r="Z20" s="510"/>
      <c r="AA20" s="510"/>
      <c r="AB20" s="510"/>
      <c r="AC20" s="510"/>
      <c r="AD20" s="511"/>
      <c r="AE20" s="513"/>
      <c r="AF20" s="517"/>
      <c r="AG20" s="518"/>
      <c r="AH20" s="519"/>
      <c r="AI20" s="499">
        <v>45027</v>
      </c>
      <c r="AJ20" s="500"/>
      <c r="AK20" s="500"/>
      <c r="AL20" s="501"/>
      <c r="AM20" s="499">
        <v>45027</v>
      </c>
      <c r="AN20" s="500"/>
      <c r="AO20" s="500"/>
      <c r="AP20" s="501"/>
      <c r="AQ20" s="349"/>
      <c r="AR20" s="350"/>
      <c r="AS20" s="351"/>
      <c r="AT20" s="523"/>
      <c r="AU20" s="524"/>
      <c r="AV20" s="524"/>
      <c r="AW20" s="525"/>
      <c r="AX20" s="529"/>
      <c r="AY20" s="530"/>
      <c r="AZ20" s="531"/>
      <c r="BA20" s="498"/>
    </row>
    <row r="21" spans="1:58">
      <c r="BA21" s="207"/>
      <c r="BB21" s="207"/>
      <c r="BC21" s="207"/>
      <c r="BD21" s="207"/>
      <c r="BE21" s="207"/>
      <c r="BF21" s="207"/>
    </row>
    <row r="22" spans="1:58">
      <c r="BA22" s="207"/>
      <c r="BB22" s="207"/>
      <c r="BC22" s="207"/>
      <c r="BD22" s="207"/>
      <c r="BE22" s="207"/>
      <c r="BF22" s="207"/>
    </row>
    <row r="23" spans="1:58">
      <c r="BA23" s="207"/>
      <c r="BB23" s="207"/>
      <c r="BC23" s="207"/>
      <c r="BD23" s="207"/>
      <c r="BE23" s="207"/>
      <c r="BF23" s="207"/>
    </row>
    <row r="24" spans="1:58">
      <c r="BA24" s="207"/>
      <c r="BB24" s="207"/>
      <c r="BC24" s="207"/>
      <c r="BD24" s="207"/>
      <c r="BE24" s="207"/>
      <c r="BF24" s="207"/>
    </row>
    <row r="25" spans="1:58">
      <c r="BA25" s="207"/>
      <c r="BB25" s="207"/>
      <c r="BC25" s="207"/>
      <c r="BD25" s="207"/>
      <c r="BE25" s="207"/>
      <c r="BF25" s="207"/>
    </row>
    <row r="26" spans="1:58">
      <c r="BA26" s="207"/>
      <c r="BB26" s="207"/>
      <c r="BC26" s="207"/>
      <c r="BD26" s="207"/>
      <c r="BE26" s="207"/>
      <c r="BF26" s="207"/>
    </row>
  </sheetData>
  <customSheetViews>
    <customSheetView guid="{A6ABB528-5CA4-4D4C-8A92-065340906B37}" scale="85" showPageBreaks="1" printArea="1" view="pageBreakPreview" showRuler="0" topLeftCell="A4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ゴシック,標準"&amp;10&amp;P-2
&amp;R&amp;"ＭＳ ゴシック,標準"&amp;6&amp;F/&amp;A</oddFooter>
      </headerFooter>
    </customSheetView>
    <customSheetView guid="{8E288406-DA20-4489-A100-6BF008027C94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ゴシック,標準"&amp;10&amp;P-2
&amp;R&amp;"ＭＳ ゴシック,標準"&amp;6&amp;F/&amp;A</oddFooter>
      </headerFooter>
    </customSheetView>
  </customSheetViews>
  <mergeCells count="94">
    <mergeCell ref="F4:V4"/>
    <mergeCell ref="S2:X2"/>
    <mergeCell ref="AM9:AP9"/>
    <mergeCell ref="AS1:AV1"/>
    <mergeCell ref="AF1:AK1"/>
    <mergeCell ref="C1:P2"/>
    <mergeCell ref="Q1:R1"/>
    <mergeCell ref="S1:X1"/>
    <mergeCell ref="Y1:AE1"/>
    <mergeCell ref="Q2:R2"/>
    <mergeCell ref="AQ1:AR1"/>
    <mergeCell ref="AL1:AP1"/>
    <mergeCell ref="W4:AB4"/>
    <mergeCell ref="AC4:AH4"/>
    <mergeCell ref="AU4:AZ4"/>
    <mergeCell ref="AO4:AT4"/>
    <mergeCell ref="A9:B10"/>
    <mergeCell ref="AM10:AP10"/>
    <mergeCell ref="AQ9:AS10"/>
    <mergeCell ref="AI10:AL10"/>
    <mergeCell ref="C9:AD10"/>
    <mergeCell ref="AI9:AL9"/>
    <mergeCell ref="AF9:AH10"/>
    <mergeCell ref="Y2:AC2"/>
    <mergeCell ref="AL2:AP2"/>
    <mergeCell ref="AQ2:AR2"/>
    <mergeCell ref="AS2:AV2"/>
    <mergeCell ref="AW2:AZ2"/>
    <mergeCell ref="AD2:AE2"/>
    <mergeCell ref="AF2:AK2"/>
    <mergeCell ref="AM13:AP13"/>
    <mergeCell ref="AQ13:AS14"/>
    <mergeCell ref="AT13:AW14"/>
    <mergeCell ref="AW1:AZ1"/>
    <mergeCell ref="AT9:AW10"/>
    <mergeCell ref="AI4:AN4"/>
    <mergeCell ref="AM11:AP11"/>
    <mergeCell ref="AQ11:AS12"/>
    <mergeCell ref="AT11:AW12"/>
    <mergeCell ref="AX11:AZ12"/>
    <mergeCell ref="AX13:AZ14"/>
    <mergeCell ref="C11:AD12"/>
    <mergeCell ref="AE11:AE12"/>
    <mergeCell ref="AF11:AH12"/>
    <mergeCell ref="AI11:AL11"/>
    <mergeCell ref="AX9:AZ10"/>
    <mergeCell ref="BA11:BA12"/>
    <mergeCell ref="AI12:AL12"/>
    <mergeCell ref="AM12:AP12"/>
    <mergeCell ref="A19:B20"/>
    <mergeCell ref="C19:AD20"/>
    <mergeCell ref="AE19:AE20"/>
    <mergeCell ref="AF19:AH20"/>
    <mergeCell ref="AI19:AL19"/>
    <mergeCell ref="AM19:AP19"/>
    <mergeCell ref="AQ19:AS20"/>
    <mergeCell ref="AT19:AW20"/>
    <mergeCell ref="AX19:AZ20"/>
    <mergeCell ref="BA19:BA20"/>
    <mergeCell ref="AI20:AL20"/>
    <mergeCell ref="AM20:AP20"/>
    <mergeCell ref="A11:B12"/>
    <mergeCell ref="A17:B18"/>
    <mergeCell ref="C17:AD18"/>
    <mergeCell ref="AE17:AE18"/>
    <mergeCell ref="AF17:AH18"/>
    <mergeCell ref="A13:B14"/>
    <mergeCell ref="C13:AD14"/>
    <mergeCell ref="AE13:AE14"/>
    <mergeCell ref="AF13:AH14"/>
    <mergeCell ref="AX17:AZ18"/>
    <mergeCell ref="BA17:BA18"/>
    <mergeCell ref="AM18:AP18"/>
    <mergeCell ref="AI17:AL17"/>
    <mergeCell ref="AI18:AL18"/>
    <mergeCell ref="AM17:AP17"/>
    <mergeCell ref="AQ17:AS18"/>
    <mergeCell ref="AT17:AW18"/>
    <mergeCell ref="BA13:BA14"/>
    <mergeCell ref="AI14:AL14"/>
    <mergeCell ref="AM14:AP14"/>
    <mergeCell ref="A15:B16"/>
    <mergeCell ref="C15:AD16"/>
    <mergeCell ref="AE15:AE16"/>
    <mergeCell ref="AF15:AH16"/>
    <mergeCell ref="AI15:AL15"/>
    <mergeCell ref="AM15:AP15"/>
    <mergeCell ref="AQ15:AS16"/>
    <mergeCell ref="AT15:AW16"/>
    <mergeCell ref="AX15:AZ16"/>
    <mergeCell ref="BA15:BA16"/>
    <mergeCell ref="AI16:AL16"/>
    <mergeCell ref="AM16:AP16"/>
    <mergeCell ref="AI13:AL13"/>
  </mergeCells>
  <phoneticPr fontId="2"/>
  <pageMargins left="0.59055118110236227" right="0.59055118110236227" top="0.78740157480314965" bottom="0.59055118110236227" header="0.51181102362204722" footer="0.31496062992125984"/>
  <pageSetup paperSize="9" scale="36" fitToHeight="3" orientation="landscape" verticalDpi="360" r:id="rId3"/>
  <headerFooter alignWithMargins="0">
    <oddFooter>&amp;C&amp;"ＭＳ ゴシック,標準"&amp;10&amp;P-2
&amp;R&amp;"ＭＳ ゴシック,標準"&amp;6&amp;F/&amp;A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D35"/>
  <sheetViews>
    <sheetView showGridLines="0" view="pageBreakPreview" zoomScale="115" zoomScaleNormal="140" zoomScaleSheetLayoutView="115" workbookViewId="0">
      <selection activeCell="C12" sqref="C12:AB14"/>
    </sheetView>
  </sheetViews>
  <sheetFormatPr defaultColWidth="2.625" defaultRowHeight="12"/>
  <cols>
    <col min="1" max="46" width="2.625" style="210" customWidth="1"/>
    <col min="47" max="47" width="2.625" style="226" customWidth="1"/>
    <col min="48" max="52" width="2.625" style="227" customWidth="1"/>
    <col min="53" max="256" width="2.625" style="210"/>
    <col min="257" max="308" width="2.625" style="210" customWidth="1"/>
    <col min="309" max="512" width="2.625" style="210"/>
    <col min="513" max="564" width="2.625" style="210" customWidth="1"/>
    <col min="565" max="768" width="2.625" style="210"/>
    <col min="769" max="820" width="2.625" style="210" customWidth="1"/>
    <col min="821" max="1024" width="2.625" style="210"/>
    <col min="1025" max="1076" width="2.625" style="210" customWidth="1"/>
    <col min="1077" max="1280" width="2.625" style="210"/>
    <col min="1281" max="1332" width="2.625" style="210" customWidth="1"/>
    <col min="1333" max="1536" width="2.625" style="210"/>
    <col min="1537" max="1588" width="2.625" style="210" customWidth="1"/>
    <col min="1589" max="1792" width="2.625" style="210"/>
    <col min="1793" max="1844" width="2.625" style="210" customWidth="1"/>
    <col min="1845" max="2048" width="2.625" style="210"/>
    <col min="2049" max="2100" width="2.625" style="210" customWidth="1"/>
    <col min="2101" max="2304" width="2.625" style="210"/>
    <col min="2305" max="2356" width="2.625" style="210" customWidth="1"/>
    <col min="2357" max="2560" width="2.625" style="210"/>
    <col min="2561" max="2612" width="2.625" style="210" customWidth="1"/>
    <col min="2613" max="2816" width="2.625" style="210"/>
    <col min="2817" max="2868" width="2.625" style="210" customWidth="1"/>
    <col min="2869" max="3072" width="2.625" style="210"/>
    <col min="3073" max="3124" width="2.625" style="210" customWidth="1"/>
    <col min="3125" max="3328" width="2.625" style="210"/>
    <col min="3329" max="3380" width="2.625" style="210" customWidth="1"/>
    <col min="3381" max="3584" width="2.625" style="210"/>
    <col min="3585" max="3636" width="2.625" style="210" customWidth="1"/>
    <col min="3637" max="3840" width="2.625" style="210"/>
    <col min="3841" max="3892" width="2.625" style="210" customWidth="1"/>
    <col min="3893" max="4096" width="2.625" style="210"/>
    <col min="4097" max="4148" width="2.625" style="210" customWidth="1"/>
    <col min="4149" max="4352" width="2.625" style="210"/>
    <col min="4353" max="4404" width="2.625" style="210" customWidth="1"/>
    <col min="4405" max="4608" width="2.625" style="210"/>
    <col min="4609" max="4660" width="2.625" style="210" customWidth="1"/>
    <col min="4661" max="4864" width="2.625" style="210"/>
    <col min="4865" max="4916" width="2.625" style="210" customWidth="1"/>
    <col min="4917" max="5120" width="2.625" style="210"/>
    <col min="5121" max="5172" width="2.625" style="210" customWidth="1"/>
    <col min="5173" max="5376" width="2.625" style="210"/>
    <col min="5377" max="5428" width="2.625" style="210" customWidth="1"/>
    <col min="5429" max="5632" width="2.625" style="210"/>
    <col min="5633" max="5684" width="2.625" style="210" customWidth="1"/>
    <col min="5685" max="5888" width="2.625" style="210"/>
    <col min="5889" max="5940" width="2.625" style="210" customWidth="1"/>
    <col min="5941" max="6144" width="2.625" style="210"/>
    <col min="6145" max="6196" width="2.625" style="210" customWidth="1"/>
    <col min="6197" max="6400" width="2.625" style="210"/>
    <col min="6401" max="6452" width="2.625" style="210" customWidth="1"/>
    <col min="6453" max="6656" width="2.625" style="210"/>
    <col min="6657" max="6708" width="2.625" style="210" customWidth="1"/>
    <col min="6709" max="6912" width="2.625" style="210"/>
    <col min="6913" max="6964" width="2.625" style="210" customWidth="1"/>
    <col min="6965" max="7168" width="2.625" style="210"/>
    <col min="7169" max="7220" width="2.625" style="210" customWidth="1"/>
    <col min="7221" max="7424" width="2.625" style="210"/>
    <col min="7425" max="7476" width="2.625" style="210" customWidth="1"/>
    <col min="7477" max="7680" width="2.625" style="210"/>
    <col min="7681" max="7732" width="2.625" style="210" customWidth="1"/>
    <col min="7733" max="7936" width="2.625" style="210"/>
    <col min="7937" max="7988" width="2.625" style="210" customWidth="1"/>
    <col min="7989" max="8192" width="2.625" style="210"/>
    <col min="8193" max="8244" width="2.625" style="210" customWidth="1"/>
    <col min="8245" max="8448" width="2.625" style="210"/>
    <col min="8449" max="8500" width="2.625" style="210" customWidth="1"/>
    <col min="8501" max="8704" width="2.625" style="210"/>
    <col min="8705" max="8756" width="2.625" style="210" customWidth="1"/>
    <col min="8757" max="8960" width="2.625" style="210"/>
    <col min="8961" max="9012" width="2.625" style="210" customWidth="1"/>
    <col min="9013" max="9216" width="2.625" style="210"/>
    <col min="9217" max="9268" width="2.625" style="210" customWidth="1"/>
    <col min="9269" max="9472" width="2.625" style="210"/>
    <col min="9473" max="9524" width="2.625" style="210" customWidth="1"/>
    <col min="9525" max="9728" width="2.625" style="210"/>
    <col min="9729" max="9780" width="2.625" style="210" customWidth="1"/>
    <col min="9781" max="9984" width="2.625" style="210"/>
    <col min="9985" max="10036" width="2.625" style="210" customWidth="1"/>
    <col min="10037" max="10240" width="2.625" style="210"/>
    <col min="10241" max="10292" width="2.625" style="210" customWidth="1"/>
    <col min="10293" max="10496" width="2.625" style="210"/>
    <col min="10497" max="10548" width="2.625" style="210" customWidth="1"/>
    <col min="10549" max="10752" width="2.625" style="210"/>
    <col min="10753" max="10804" width="2.625" style="210" customWidth="1"/>
    <col min="10805" max="11008" width="2.625" style="210"/>
    <col min="11009" max="11060" width="2.625" style="210" customWidth="1"/>
    <col min="11061" max="11264" width="2.625" style="210"/>
    <col min="11265" max="11316" width="2.625" style="210" customWidth="1"/>
    <col min="11317" max="11520" width="2.625" style="210"/>
    <col min="11521" max="11572" width="2.625" style="210" customWidth="1"/>
    <col min="11573" max="11776" width="2.625" style="210"/>
    <col min="11777" max="11828" width="2.625" style="210" customWidth="1"/>
    <col min="11829" max="12032" width="2.625" style="210"/>
    <col min="12033" max="12084" width="2.625" style="210" customWidth="1"/>
    <col min="12085" max="12288" width="2.625" style="210"/>
    <col min="12289" max="12340" width="2.625" style="210" customWidth="1"/>
    <col min="12341" max="12544" width="2.625" style="210"/>
    <col min="12545" max="12596" width="2.625" style="210" customWidth="1"/>
    <col min="12597" max="12800" width="2.625" style="210"/>
    <col min="12801" max="12852" width="2.625" style="210" customWidth="1"/>
    <col min="12853" max="13056" width="2.625" style="210"/>
    <col min="13057" max="13108" width="2.625" style="210" customWidth="1"/>
    <col min="13109" max="13312" width="2.625" style="210"/>
    <col min="13313" max="13364" width="2.625" style="210" customWidth="1"/>
    <col min="13365" max="13568" width="2.625" style="210"/>
    <col min="13569" max="13620" width="2.625" style="210" customWidth="1"/>
    <col min="13621" max="13824" width="2.625" style="210"/>
    <col min="13825" max="13876" width="2.625" style="210" customWidth="1"/>
    <col min="13877" max="14080" width="2.625" style="210"/>
    <col min="14081" max="14132" width="2.625" style="210" customWidth="1"/>
    <col min="14133" max="14336" width="2.625" style="210"/>
    <col min="14337" max="14388" width="2.625" style="210" customWidth="1"/>
    <col min="14389" max="14592" width="2.625" style="210"/>
    <col min="14593" max="14644" width="2.625" style="210" customWidth="1"/>
    <col min="14645" max="14848" width="2.625" style="210"/>
    <col min="14849" max="14900" width="2.625" style="210" customWidth="1"/>
    <col min="14901" max="15104" width="2.625" style="210"/>
    <col min="15105" max="15156" width="2.625" style="210" customWidth="1"/>
    <col min="15157" max="15360" width="2.625" style="210"/>
    <col min="15361" max="15412" width="2.625" style="210" customWidth="1"/>
    <col min="15413" max="15616" width="2.625" style="210"/>
    <col min="15617" max="15668" width="2.625" style="210" customWidth="1"/>
    <col min="15669" max="15872" width="2.625" style="210"/>
    <col min="15873" max="15924" width="2.625" style="210" customWidth="1"/>
    <col min="15925" max="16128" width="2.625" style="210"/>
    <col min="16129" max="16180" width="2.625" style="210" customWidth="1"/>
    <col min="16181" max="16384" width="2.625" style="210"/>
  </cols>
  <sheetData>
    <row r="1" spans="1:134" ht="14.25" customHeight="1">
      <c r="A1" s="144" t="s">
        <v>122</v>
      </c>
      <c r="B1" s="145"/>
      <c r="C1" s="450" t="s">
        <v>100</v>
      </c>
      <c r="D1" s="450"/>
      <c r="E1" s="450"/>
      <c r="F1" s="450"/>
      <c r="G1" s="450"/>
      <c r="H1" s="450"/>
      <c r="I1" s="450"/>
      <c r="J1" s="450"/>
      <c r="K1" s="450"/>
      <c r="L1" s="450"/>
      <c r="M1" s="450"/>
      <c r="N1" s="450"/>
      <c r="O1" s="450"/>
      <c r="P1" s="451"/>
      <c r="Q1" s="452" t="s">
        <v>4</v>
      </c>
      <c r="R1" s="453"/>
      <c r="S1" s="441" t="s">
        <v>5</v>
      </c>
      <c r="T1" s="439"/>
      <c r="U1" s="439"/>
      <c r="V1" s="439"/>
      <c r="W1" s="439"/>
      <c r="X1" s="442"/>
      <c r="Y1" s="443">
        <f>目次!Y1</f>
        <v>45044</v>
      </c>
      <c r="Z1" s="444"/>
      <c r="AA1" s="444"/>
      <c r="AB1" s="444"/>
      <c r="AC1" s="444"/>
      <c r="AD1" s="444"/>
      <c r="AE1" s="445"/>
      <c r="AF1" s="446" t="s">
        <v>6</v>
      </c>
      <c r="AG1" s="447"/>
      <c r="AH1" s="447"/>
      <c r="AI1" s="447"/>
      <c r="AJ1" s="447"/>
      <c r="AK1" s="448"/>
      <c r="AL1" s="449" t="str">
        <f>目次!AL1</f>
        <v>徐</v>
      </c>
      <c r="AM1" s="439"/>
      <c r="AN1" s="439"/>
      <c r="AO1" s="439"/>
      <c r="AP1" s="439"/>
      <c r="AQ1" s="439" t="str">
        <f>目次!AQ1</f>
        <v>JNW</v>
      </c>
      <c r="AR1" s="440"/>
      <c r="AS1" s="441" t="s">
        <v>7</v>
      </c>
      <c r="AT1" s="439"/>
      <c r="AU1" s="439"/>
      <c r="AV1" s="442"/>
      <c r="AW1" s="443">
        <f>目次!AW1</f>
        <v>45027</v>
      </c>
      <c r="AX1" s="444"/>
      <c r="AY1" s="444"/>
      <c r="AZ1" s="445"/>
    </row>
    <row r="2" spans="1:134" ht="14.25" customHeight="1">
      <c r="A2" s="146"/>
      <c r="B2" s="147"/>
      <c r="C2" s="426"/>
      <c r="D2" s="426"/>
      <c r="E2" s="426"/>
      <c r="F2" s="426"/>
      <c r="G2" s="426"/>
      <c r="H2" s="426"/>
      <c r="I2" s="426"/>
      <c r="J2" s="426"/>
      <c r="K2" s="426"/>
      <c r="L2" s="426"/>
      <c r="M2" s="426"/>
      <c r="N2" s="426"/>
      <c r="O2" s="426"/>
      <c r="P2" s="427"/>
      <c r="Q2" s="454">
        <f>目次!Q2</f>
        <v>1</v>
      </c>
      <c r="R2" s="455"/>
      <c r="S2" s="446" t="s">
        <v>8</v>
      </c>
      <c r="T2" s="447"/>
      <c r="U2" s="447"/>
      <c r="V2" s="447"/>
      <c r="W2" s="447"/>
      <c r="X2" s="448"/>
      <c r="Y2" s="449" t="str">
        <f>目次!Y2</f>
        <v>福島　副部長</v>
      </c>
      <c r="Z2" s="439"/>
      <c r="AA2" s="439"/>
      <c r="AB2" s="439"/>
      <c r="AC2" s="439"/>
      <c r="AD2" s="439" t="str">
        <f>目次!AD2</f>
        <v>DIR</v>
      </c>
      <c r="AE2" s="440"/>
      <c r="AF2" s="446" t="s">
        <v>9</v>
      </c>
      <c r="AG2" s="447"/>
      <c r="AH2" s="447"/>
      <c r="AI2" s="447"/>
      <c r="AJ2" s="447"/>
      <c r="AK2" s="448"/>
      <c r="AL2" s="449" t="str">
        <f>目次!AL2</f>
        <v>徐</v>
      </c>
      <c r="AM2" s="439"/>
      <c r="AN2" s="439"/>
      <c r="AO2" s="439"/>
      <c r="AP2" s="439"/>
      <c r="AQ2" s="439" t="str">
        <f>目次!AQ2</f>
        <v>JNW</v>
      </c>
      <c r="AR2" s="440"/>
      <c r="AS2" s="441" t="s">
        <v>10</v>
      </c>
      <c r="AT2" s="439"/>
      <c r="AU2" s="439"/>
      <c r="AV2" s="442"/>
      <c r="AW2" s="443">
        <f>目次!AW2</f>
        <v>45027</v>
      </c>
      <c r="AX2" s="444"/>
      <c r="AY2" s="444"/>
      <c r="AZ2" s="445"/>
    </row>
    <row r="3" spans="1:134" s="128" customFormat="1" ht="14.25">
      <c r="A3" s="148" t="s">
        <v>82</v>
      </c>
      <c r="B3" s="149"/>
      <c r="C3" s="150"/>
      <c r="D3" s="150"/>
      <c r="E3" s="150"/>
      <c r="F3" s="228" t="s">
        <v>83</v>
      </c>
      <c r="G3" s="229"/>
      <c r="H3" s="229"/>
      <c r="I3" s="229"/>
      <c r="J3" s="229"/>
      <c r="K3" s="229"/>
      <c r="L3" s="229"/>
      <c r="M3" s="229"/>
      <c r="N3" s="229"/>
      <c r="O3" s="230"/>
      <c r="P3" s="229"/>
      <c r="Q3" s="229"/>
      <c r="R3" s="229"/>
      <c r="S3" s="229"/>
      <c r="T3" s="229"/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31"/>
      <c r="AF3" s="232" t="s">
        <v>228</v>
      </c>
      <c r="AG3" s="233"/>
      <c r="AH3" s="234"/>
      <c r="AI3" s="234"/>
      <c r="AJ3" s="234"/>
      <c r="AK3" s="235"/>
      <c r="AL3" s="232" t="s">
        <v>229</v>
      </c>
      <c r="AM3" s="233"/>
      <c r="AN3" s="234"/>
      <c r="AO3" s="234"/>
      <c r="AP3" s="234"/>
      <c r="AQ3" s="235"/>
      <c r="AR3" s="236"/>
      <c r="AS3" s="236"/>
      <c r="AT3" s="236"/>
      <c r="AU3" s="236"/>
      <c r="AV3" s="236"/>
      <c r="AW3" s="236"/>
      <c r="AX3" s="236"/>
      <c r="AY3" s="236"/>
      <c r="AZ3" s="237"/>
      <c r="BA3" s="211"/>
      <c r="BB3" s="211"/>
      <c r="BC3" s="211"/>
      <c r="BD3" s="211"/>
      <c r="BE3" s="211"/>
      <c r="BF3" s="211"/>
      <c r="BG3" s="211"/>
      <c r="BH3" s="211"/>
      <c r="BI3" s="211"/>
      <c r="BJ3" s="211"/>
      <c r="BK3" s="211"/>
      <c r="BL3" s="211"/>
      <c r="BM3" s="211"/>
      <c r="BN3" s="211"/>
      <c r="BO3" s="211"/>
      <c r="BP3" s="211"/>
      <c r="BQ3" s="211"/>
      <c r="BR3" s="211"/>
      <c r="BS3" s="211"/>
      <c r="BT3" s="211"/>
      <c r="BU3" s="211"/>
      <c r="BV3" s="211"/>
      <c r="BW3" s="211"/>
      <c r="BX3" s="211"/>
      <c r="BY3" s="211"/>
      <c r="BZ3" s="211"/>
      <c r="CA3" s="211"/>
      <c r="CB3" s="211"/>
      <c r="CC3" s="211"/>
      <c r="CD3" s="211"/>
      <c r="CU3" s="211"/>
      <c r="CV3" s="211"/>
      <c r="CW3" s="211"/>
      <c r="CX3" s="211"/>
      <c r="CY3" s="211"/>
      <c r="CZ3" s="211"/>
      <c r="DA3" s="211"/>
      <c r="DB3" s="211"/>
      <c r="DC3" s="211"/>
      <c r="DD3" s="211"/>
      <c r="DE3" s="211"/>
      <c r="DF3" s="211"/>
      <c r="DI3" s="211"/>
      <c r="DJ3" s="211"/>
      <c r="DK3" s="211"/>
      <c r="DL3" s="211"/>
      <c r="DM3" s="211"/>
      <c r="DN3" s="211"/>
      <c r="DO3" s="211"/>
      <c r="DP3" s="211"/>
      <c r="DS3" s="211"/>
      <c r="DT3" s="211"/>
      <c r="DU3" s="211"/>
      <c r="DV3" s="211"/>
      <c r="DW3" s="211"/>
      <c r="DX3" s="211"/>
      <c r="DY3" s="211"/>
      <c r="DZ3" s="211"/>
      <c r="EC3" s="211"/>
      <c r="ED3" s="211"/>
    </row>
    <row r="4" spans="1:134" s="128" customFormat="1" ht="14.25">
      <c r="A4" s="179" t="str">
        <f>目次!A4</f>
        <v>MAET86S1</v>
      </c>
      <c r="B4" s="156"/>
      <c r="C4" s="157"/>
      <c r="D4" s="157"/>
      <c r="E4" s="157"/>
      <c r="F4" s="238" t="str">
        <f>[4]目次!F4</f>
        <v>ＡＣＰ同一人識別番号付加処理</v>
      </c>
      <c r="G4" s="239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  <c r="Z4" s="240"/>
      <c r="AA4" s="240"/>
      <c r="AB4" s="240"/>
      <c r="AC4" s="240"/>
      <c r="AD4" s="240"/>
      <c r="AE4" s="241"/>
      <c r="AF4" s="245">
        <v>2</v>
      </c>
      <c r="AG4" s="246"/>
      <c r="AH4" s="246"/>
      <c r="AI4" s="246"/>
      <c r="AJ4" s="246"/>
      <c r="AK4" s="247"/>
      <c r="AL4" s="659">
        <v>0</v>
      </c>
      <c r="AM4" s="660"/>
      <c r="AN4" s="660"/>
      <c r="AO4" s="660"/>
      <c r="AP4" s="660"/>
      <c r="AQ4" s="661"/>
      <c r="AR4" s="242"/>
      <c r="AS4" s="242"/>
      <c r="AT4" s="242"/>
      <c r="AU4" s="242"/>
      <c r="AV4" s="242"/>
      <c r="AW4" s="242"/>
      <c r="AX4" s="242"/>
      <c r="AY4" s="242"/>
      <c r="AZ4" s="243"/>
      <c r="BA4" s="211"/>
      <c r="BB4" s="211"/>
      <c r="BC4" s="211"/>
      <c r="BD4" s="211"/>
      <c r="BE4" s="211"/>
      <c r="BF4" s="211"/>
      <c r="BG4" s="211"/>
      <c r="BH4" s="211"/>
      <c r="BI4" s="211"/>
      <c r="BJ4" s="211"/>
      <c r="BK4" s="211"/>
      <c r="BL4" s="211"/>
      <c r="BM4" s="211"/>
      <c r="BN4" s="211"/>
      <c r="BO4" s="211"/>
      <c r="BP4" s="211"/>
      <c r="BQ4" s="211"/>
      <c r="BR4" s="211"/>
      <c r="BS4" s="211"/>
      <c r="BT4" s="211"/>
      <c r="BU4" s="211"/>
      <c r="BV4" s="211"/>
      <c r="BW4" s="211"/>
      <c r="BX4" s="211"/>
      <c r="BY4" s="211"/>
      <c r="BZ4" s="211"/>
      <c r="CA4" s="211"/>
      <c r="CB4" s="211"/>
      <c r="CC4" s="211"/>
      <c r="CD4" s="211"/>
      <c r="CU4" s="211"/>
      <c r="CV4" s="211"/>
      <c r="CW4" s="211"/>
      <c r="CX4" s="211"/>
      <c r="CY4" s="211"/>
      <c r="CZ4" s="211"/>
      <c r="DA4" s="211"/>
      <c r="DB4" s="211"/>
      <c r="DC4" s="211"/>
      <c r="DD4" s="211"/>
      <c r="DE4" s="211"/>
      <c r="DF4" s="211"/>
      <c r="DI4" s="211"/>
      <c r="DJ4" s="211"/>
      <c r="DK4" s="211"/>
      <c r="DL4" s="211"/>
      <c r="DM4" s="211"/>
      <c r="DN4" s="211"/>
      <c r="DO4" s="211"/>
      <c r="DP4" s="211"/>
      <c r="DS4" s="211"/>
      <c r="DT4" s="211"/>
      <c r="DU4" s="211"/>
      <c r="DV4" s="211"/>
      <c r="DW4" s="211"/>
      <c r="DX4" s="211"/>
      <c r="DY4" s="211"/>
      <c r="DZ4" s="211"/>
      <c r="EC4" s="211"/>
      <c r="ED4" s="211"/>
    </row>
    <row r="5" spans="1:134" ht="12" customHeight="1"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2"/>
      <c r="X5" s="212"/>
      <c r="Y5" s="212"/>
      <c r="Z5" s="212"/>
      <c r="AA5" s="212"/>
      <c r="AB5" s="212"/>
      <c r="AC5" s="212"/>
      <c r="AD5" s="212"/>
      <c r="AE5" s="212"/>
      <c r="AF5" s="212"/>
      <c r="AG5" s="212"/>
      <c r="AH5" s="212"/>
      <c r="AI5" s="212"/>
      <c r="AJ5" s="212"/>
      <c r="AK5" s="212"/>
      <c r="AL5" s="212"/>
      <c r="AM5" s="212"/>
      <c r="AN5" s="212"/>
      <c r="AO5" s="212"/>
      <c r="AP5" s="212"/>
      <c r="AQ5" s="212"/>
      <c r="AR5" s="212"/>
      <c r="AS5" s="212"/>
      <c r="AT5" s="212"/>
      <c r="AU5" s="213"/>
      <c r="AV5" s="213"/>
      <c r="AW5" s="213"/>
      <c r="AX5" s="213"/>
      <c r="AY5" s="213"/>
      <c r="AZ5" s="213"/>
    </row>
    <row r="6" spans="1:134" s="218" customFormat="1" ht="12" customHeight="1">
      <c r="A6" s="214" t="s">
        <v>151</v>
      </c>
      <c r="B6" s="214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6"/>
      <c r="AF6" s="216"/>
      <c r="AG6" s="216"/>
      <c r="AH6" s="217"/>
      <c r="AI6" s="217"/>
      <c r="AJ6" s="217"/>
      <c r="AK6" s="217"/>
      <c r="AL6" s="217"/>
      <c r="AM6" s="215"/>
      <c r="AN6" s="215"/>
      <c r="AO6" s="215"/>
      <c r="AP6" s="215"/>
      <c r="AQ6" s="215"/>
      <c r="AR6" s="215"/>
      <c r="AS6" s="215"/>
      <c r="AT6" s="215"/>
      <c r="AU6" s="217"/>
      <c r="AV6" s="217"/>
      <c r="AW6" s="217"/>
      <c r="AX6" s="217"/>
      <c r="AY6" s="217"/>
      <c r="AZ6" s="217"/>
    </row>
    <row r="7" spans="1:134" s="218" customFormat="1" ht="12" customHeight="1">
      <c r="A7" s="214"/>
      <c r="B7" s="214"/>
      <c r="C7" s="215"/>
      <c r="D7" s="215"/>
      <c r="E7" s="215"/>
      <c r="F7" s="215"/>
      <c r="G7" s="215"/>
      <c r="H7" s="215"/>
      <c r="I7" s="215"/>
      <c r="J7" s="215"/>
      <c r="K7" s="215"/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6"/>
      <c r="AF7" s="216"/>
      <c r="AG7" s="216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7"/>
      <c r="AV7" s="217"/>
      <c r="AW7" s="217"/>
      <c r="AX7" s="217"/>
      <c r="AY7" s="217"/>
      <c r="AZ7" s="217"/>
    </row>
    <row r="8" spans="1:134" s="127" customFormat="1" ht="13.5" customHeight="1">
      <c r="A8" s="219"/>
      <c r="B8" s="220" t="s">
        <v>258</v>
      </c>
      <c r="C8" s="221"/>
      <c r="D8" s="221"/>
      <c r="E8" s="221"/>
      <c r="F8" s="221"/>
      <c r="G8" s="221"/>
      <c r="H8" s="221"/>
      <c r="I8" s="221"/>
      <c r="J8" s="248"/>
      <c r="K8" s="221"/>
      <c r="L8" s="221"/>
      <c r="M8" s="221"/>
      <c r="N8" s="221"/>
      <c r="O8" s="221"/>
      <c r="P8" s="221"/>
      <c r="Q8" s="221"/>
      <c r="R8" s="221"/>
      <c r="S8" s="221"/>
      <c r="T8" s="221"/>
      <c r="U8" s="221"/>
      <c r="V8" s="221"/>
      <c r="W8" s="221"/>
      <c r="X8" s="221"/>
      <c r="Y8" s="221"/>
      <c r="Z8" s="221"/>
      <c r="AA8" s="221"/>
      <c r="AB8" s="221"/>
      <c r="AC8" s="221"/>
      <c r="AD8" s="221"/>
      <c r="AE8" s="221"/>
      <c r="AF8" s="221"/>
      <c r="AG8" s="221"/>
      <c r="AH8" s="221"/>
      <c r="AI8" s="221"/>
      <c r="AJ8" s="221"/>
      <c r="AK8" s="221"/>
      <c r="AL8" s="221"/>
      <c r="AM8" s="221"/>
      <c r="AN8" s="219"/>
      <c r="AO8" s="221"/>
      <c r="AP8" s="221"/>
      <c r="AQ8" s="221"/>
      <c r="AR8" s="221"/>
      <c r="AS8" s="221"/>
      <c r="AT8" s="221"/>
      <c r="AU8" s="221"/>
      <c r="AV8" s="221"/>
      <c r="AW8" s="222"/>
      <c r="AX8" s="219"/>
      <c r="AY8" s="219"/>
      <c r="AZ8" s="219"/>
      <c r="BA8" s="219"/>
    </row>
    <row r="9" spans="1:134" s="127" customFormat="1" ht="13.5" customHeight="1">
      <c r="A9" s="219"/>
      <c r="B9" s="220" t="s">
        <v>185</v>
      </c>
      <c r="C9" s="221"/>
      <c r="D9" s="221"/>
      <c r="E9" s="221"/>
      <c r="F9" s="221"/>
      <c r="G9" s="221"/>
      <c r="H9" s="221"/>
      <c r="I9" s="221"/>
      <c r="J9" s="221"/>
      <c r="K9" s="221"/>
      <c r="L9" s="221"/>
      <c r="M9" s="221"/>
      <c r="N9" s="221"/>
      <c r="O9" s="221"/>
      <c r="P9" s="221"/>
      <c r="Q9" s="221"/>
      <c r="R9" s="221"/>
      <c r="S9" s="221"/>
      <c r="T9" s="221"/>
      <c r="U9" s="221"/>
      <c r="V9" s="221"/>
      <c r="W9" s="221"/>
      <c r="X9" s="221"/>
      <c r="Y9" s="221"/>
      <c r="Z9" s="221"/>
      <c r="AA9" s="221"/>
      <c r="AB9" s="221"/>
      <c r="AC9" s="221"/>
      <c r="AD9" s="221"/>
      <c r="AE9" s="221"/>
      <c r="AF9" s="221"/>
      <c r="AG9" s="221"/>
      <c r="AH9" s="221"/>
      <c r="AI9" s="221"/>
      <c r="AJ9" s="221"/>
      <c r="AK9" s="221"/>
      <c r="AL9" s="221"/>
      <c r="AM9" s="221"/>
      <c r="AN9" s="219"/>
      <c r="AO9" s="221"/>
      <c r="AP9" s="221"/>
      <c r="AQ9" s="221"/>
      <c r="AR9" s="221"/>
      <c r="AS9" s="221"/>
      <c r="AT9" s="221"/>
      <c r="AU9" s="221"/>
      <c r="AV9" s="221"/>
      <c r="AW9" s="222"/>
      <c r="AX9" s="219"/>
      <c r="AY9" s="219"/>
      <c r="AZ9" s="219"/>
      <c r="BA9" s="219"/>
    </row>
    <row r="10" spans="1:134" s="218" customFormat="1" ht="12.75" thickBot="1">
      <c r="A10" s="214"/>
      <c r="B10" s="223"/>
      <c r="C10" s="223"/>
      <c r="D10" s="214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23"/>
      <c r="P10" s="223"/>
      <c r="Q10" s="223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16"/>
      <c r="AV10" s="216"/>
      <c r="AW10" s="216"/>
      <c r="AX10" s="216"/>
      <c r="AY10" s="216"/>
      <c r="AZ10" s="216"/>
    </row>
    <row r="11" spans="1:134" s="127" customFormat="1" ht="13.5" customHeight="1">
      <c r="A11" s="630"/>
      <c r="B11" s="631"/>
      <c r="C11" s="630" t="s">
        <v>30</v>
      </c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/>
      <c r="U11" s="631"/>
      <c r="V11" s="631"/>
      <c r="W11" s="631"/>
      <c r="X11" s="631"/>
      <c r="Y11" s="631"/>
      <c r="Z11" s="631"/>
      <c r="AA11" s="631"/>
      <c r="AB11" s="654"/>
      <c r="AC11" s="655" t="s">
        <v>133</v>
      </c>
      <c r="AD11" s="656"/>
      <c r="AE11" s="657" t="s">
        <v>99</v>
      </c>
      <c r="AF11" s="656"/>
      <c r="AG11" s="657"/>
      <c r="AH11" s="656"/>
      <c r="AI11" s="657"/>
      <c r="AJ11" s="656"/>
      <c r="AK11" s="657"/>
      <c r="AL11" s="656"/>
      <c r="AM11" s="657"/>
      <c r="AN11" s="656"/>
      <c r="AO11" s="657"/>
      <c r="AP11" s="656"/>
      <c r="AQ11" s="657"/>
      <c r="AR11" s="656"/>
      <c r="AS11" s="657"/>
      <c r="AT11" s="656"/>
      <c r="AU11" s="657"/>
      <c r="AV11" s="656"/>
      <c r="AW11" s="657"/>
      <c r="AX11" s="656"/>
      <c r="AY11" s="657"/>
      <c r="AZ11" s="656"/>
      <c r="BA11" s="657"/>
      <c r="BB11" s="658"/>
    </row>
    <row r="12" spans="1:134" s="127" customFormat="1" ht="13.5" customHeight="1" thickBot="1">
      <c r="A12" s="632"/>
      <c r="B12" s="633"/>
      <c r="C12" s="632" t="s">
        <v>11</v>
      </c>
      <c r="D12" s="633"/>
      <c r="E12" s="633"/>
      <c r="F12" s="633"/>
      <c r="G12" s="633"/>
      <c r="H12" s="633"/>
      <c r="I12" s="633"/>
      <c r="J12" s="633"/>
      <c r="K12" s="633"/>
      <c r="L12" s="633"/>
      <c r="M12" s="633"/>
      <c r="N12" s="633"/>
      <c r="O12" s="633"/>
      <c r="P12" s="633"/>
      <c r="Q12" s="633"/>
      <c r="R12" s="633"/>
      <c r="S12" s="633"/>
      <c r="T12" s="633"/>
      <c r="U12" s="633"/>
      <c r="V12" s="633"/>
      <c r="W12" s="633"/>
      <c r="X12" s="633"/>
      <c r="Y12" s="633"/>
      <c r="Z12" s="633"/>
      <c r="AA12" s="633"/>
      <c r="AB12" s="652"/>
      <c r="AC12" s="653"/>
      <c r="AD12" s="629"/>
      <c r="AE12" s="653"/>
      <c r="AF12" s="653"/>
      <c r="AG12" s="628"/>
      <c r="AH12" s="629"/>
      <c r="AI12" s="628"/>
      <c r="AJ12" s="629"/>
      <c r="AK12" s="628"/>
      <c r="AL12" s="629"/>
      <c r="AM12" s="628"/>
      <c r="AN12" s="629"/>
      <c r="AO12" s="628"/>
      <c r="AP12" s="629"/>
      <c r="AQ12" s="628"/>
      <c r="AR12" s="629"/>
      <c r="AS12" s="628"/>
      <c r="AT12" s="629"/>
      <c r="AU12" s="628"/>
      <c r="AV12" s="629"/>
      <c r="AW12" s="628"/>
      <c r="AX12" s="629"/>
      <c r="AY12" s="628"/>
      <c r="AZ12" s="629"/>
      <c r="BA12" s="628"/>
      <c r="BB12" s="640"/>
    </row>
    <row r="13" spans="1:134" s="1" customFormat="1" ht="18.95" customHeight="1">
      <c r="A13" s="610" t="s">
        <v>138</v>
      </c>
      <c r="B13" s="611"/>
      <c r="C13" s="643" t="s">
        <v>159</v>
      </c>
      <c r="D13" s="644"/>
      <c r="E13" s="644"/>
      <c r="F13" s="644"/>
      <c r="G13" s="644"/>
      <c r="H13" s="644"/>
      <c r="I13" s="644"/>
      <c r="J13" s="644"/>
      <c r="K13" s="644"/>
      <c r="L13" s="644"/>
      <c r="M13" s="644"/>
      <c r="N13" s="644"/>
      <c r="O13" s="644"/>
      <c r="P13" s="644"/>
      <c r="Q13" s="647" t="s">
        <v>152</v>
      </c>
      <c r="R13" s="648"/>
      <c r="S13" s="648"/>
      <c r="T13" s="648"/>
      <c r="U13" s="648"/>
      <c r="V13" s="648"/>
      <c r="W13" s="648"/>
      <c r="X13" s="648"/>
      <c r="Y13" s="648"/>
      <c r="Z13" s="648"/>
      <c r="AA13" s="648"/>
      <c r="AB13" s="649"/>
      <c r="AC13" s="650" t="s">
        <v>0</v>
      </c>
      <c r="AD13" s="651"/>
      <c r="AE13" s="608"/>
      <c r="AF13" s="608"/>
      <c r="AG13" s="608"/>
      <c r="AH13" s="608"/>
      <c r="AI13" s="608"/>
      <c r="AJ13" s="608"/>
      <c r="AK13" s="608"/>
      <c r="AL13" s="608"/>
      <c r="AM13" s="608"/>
      <c r="AN13" s="608"/>
      <c r="AO13" s="608"/>
      <c r="AP13" s="608"/>
      <c r="AQ13" s="608"/>
      <c r="AR13" s="608"/>
      <c r="AS13" s="608"/>
      <c r="AT13" s="608"/>
      <c r="AU13" s="608"/>
      <c r="AV13" s="608"/>
      <c r="AW13" s="608"/>
      <c r="AX13" s="608"/>
      <c r="AY13" s="608"/>
      <c r="AZ13" s="608"/>
      <c r="BA13" s="608"/>
      <c r="BB13" s="608"/>
    </row>
    <row r="14" spans="1:134" s="1" customFormat="1" ht="18.95" customHeight="1" thickBot="1">
      <c r="A14" s="641"/>
      <c r="B14" s="642"/>
      <c r="C14" s="645"/>
      <c r="D14" s="646"/>
      <c r="E14" s="646"/>
      <c r="F14" s="646"/>
      <c r="G14" s="646"/>
      <c r="H14" s="646"/>
      <c r="I14" s="646"/>
      <c r="J14" s="646"/>
      <c r="K14" s="646"/>
      <c r="L14" s="646"/>
      <c r="M14" s="646"/>
      <c r="N14" s="646"/>
      <c r="O14" s="646"/>
      <c r="P14" s="646"/>
      <c r="Q14" s="634" t="s">
        <v>153</v>
      </c>
      <c r="R14" s="635"/>
      <c r="S14" s="635"/>
      <c r="T14" s="635"/>
      <c r="U14" s="635"/>
      <c r="V14" s="635"/>
      <c r="W14" s="635"/>
      <c r="X14" s="635"/>
      <c r="Y14" s="635"/>
      <c r="Z14" s="635"/>
      <c r="AA14" s="635"/>
      <c r="AB14" s="636"/>
      <c r="AC14" s="637"/>
      <c r="AD14" s="638"/>
      <c r="AE14" s="639" t="s">
        <v>0</v>
      </c>
      <c r="AF14" s="639"/>
      <c r="AG14" s="608"/>
      <c r="AH14" s="608"/>
      <c r="AI14" s="608"/>
      <c r="AJ14" s="608"/>
      <c r="AK14" s="608"/>
      <c r="AL14" s="608"/>
      <c r="AM14" s="608"/>
      <c r="AN14" s="608"/>
      <c r="AO14" s="608"/>
      <c r="AP14" s="608"/>
      <c r="AQ14" s="608"/>
      <c r="AR14" s="608"/>
      <c r="AS14" s="608"/>
      <c r="AT14" s="608"/>
      <c r="AU14" s="608"/>
      <c r="AV14" s="608"/>
      <c r="AW14" s="608"/>
      <c r="AX14" s="608"/>
      <c r="AY14" s="608"/>
      <c r="AZ14" s="608"/>
      <c r="BA14" s="608"/>
      <c r="BB14" s="609"/>
    </row>
    <row r="15" spans="1:134" s="1" customFormat="1" ht="12.75" customHeight="1">
      <c r="A15" s="610" t="s">
        <v>154</v>
      </c>
      <c r="B15" s="611"/>
      <c r="C15" s="614" t="s">
        <v>148</v>
      </c>
      <c r="D15" s="615"/>
      <c r="E15" s="615"/>
      <c r="F15" s="615"/>
      <c r="G15" s="615"/>
      <c r="H15" s="615"/>
      <c r="I15" s="615"/>
      <c r="J15" s="615"/>
      <c r="K15" s="615"/>
      <c r="L15" s="615"/>
      <c r="M15" s="615"/>
      <c r="N15" s="615"/>
      <c r="O15" s="615"/>
      <c r="P15" s="615"/>
      <c r="Q15" s="615"/>
      <c r="R15" s="615"/>
      <c r="S15" s="615"/>
      <c r="T15" s="615"/>
      <c r="U15" s="615"/>
      <c r="V15" s="615"/>
      <c r="W15" s="615"/>
      <c r="X15" s="615"/>
      <c r="Y15" s="615"/>
      <c r="Z15" s="615"/>
      <c r="AA15" s="615"/>
      <c r="AB15" s="616"/>
      <c r="AC15" s="617" t="s">
        <v>0</v>
      </c>
      <c r="AD15" s="618"/>
      <c r="AE15" s="619"/>
      <c r="AF15" s="620"/>
      <c r="AG15" s="619"/>
      <c r="AH15" s="620"/>
      <c r="AI15" s="619"/>
      <c r="AJ15" s="620"/>
      <c r="AK15" s="619"/>
      <c r="AL15" s="620"/>
      <c r="AM15" s="619"/>
      <c r="AN15" s="620"/>
      <c r="AO15" s="619"/>
      <c r="AP15" s="620"/>
      <c r="AQ15" s="619"/>
      <c r="AR15" s="620"/>
      <c r="AS15" s="619"/>
      <c r="AT15" s="620"/>
      <c r="AU15" s="619"/>
      <c r="AV15" s="620"/>
      <c r="AW15" s="619"/>
      <c r="AX15" s="620"/>
      <c r="AY15" s="619"/>
      <c r="AZ15" s="620"/>
      <c r="BA15" s="619"/>
      <c r="BB15" s="621"/>
    </row>
    <row r="16" spans="1:134" s="1" customFormat="1" ht="12.75" customHeight="1" thickBot="1">
      <c r="A16" s="612"/>
      <c r="B16" s="613"/>
      <c r="C16" s="622" t="s">
        <v>189</v>
      </c>
      <c r="D16" s="623"/>
      <c r="E16" s="623"/>
      <c r="F16" s="623"/>
      <c r="G16" s="623"/>
      <c r="H16" s="623"/>
      <c r="I16" s="623"/>
      <c r="J16" s="623"/>
      <c r="K16" s="623"/>
      <c r="L16" s="623"/>
      <c r="M16" s="623"/>
      <c r="N16" s="623"/>
      <c r="O16" s="623"/>
      <c r="P16" s="623"/>
      <c r="Q16" s="623"/>
      <c r="R16" s="623"/>
      <c r="S16" s="623"/>
      <c r="T16" s="623"/>
      <c r="U16" s="623"/>
      <c r="V16" s="623"/>
      <c r="W16" s="623"/>
      <c r="X16" s="623"/>
      <c r="Y16" s="623"/>
      <c r="Z16" s="623"/>
      <c r="AA16" s="623"/>
      <c r="AB16" s="624"/>
      <c r="AC16" s="625"/>
      <c r="AD16" s="607"/>
      <c r="AE16" s="626" t="s">
        <v>0</v>
      </c>
      <c r="AF16" s="627"/>
      <c r="AG16" s="596"/>
      <c r="AH16" s="607"/>
      <c r="AI16" s="596"/>
      <c r="AJ16" s="607"/>
      <c r="AK16" s="596"/>
      <c r="AL16" s="607"/>
      <c r="AM16" s="596"/>
      <c r="AN16" s="607"/>
      <c r="AO16" s="596"/>
      <c r="AP16" s="607"/>
      <c r="AQ16" s="596"/>
      <c r="AR16" s="607"/>
      <c r="AS16" s="596"/>
      <c r="AT16" s="607"/>
      <c r="AU16" s="596"/>
      <c r="AV16" s="607"/>
      <c r="AW16" s="596"/>
      <c r="AX16" s="607"/>
      <c r="AY16" s="596"/>
      <c r="AZ16" s="607"/>
      <c r="BA16" s="596"/>
      <c r="BB16" s="597"/>
    </row>
    <row r="17" spans="1:54" s="1" customFormat="1" ht="18.75" customHeight="1">
      <c r="A17" s="17"/>
      <c r="B17" s="17"/>
      <c r="C17" s="598"/>
      <c r="D17" s="598"/>
      <c r="E17" s="598"/>
      <c r="F17" s="598"/>
      <c r="G17" s="598"/>
      <c r="H17" s="598"/>
      <c r="I17" s="598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9"/>
      <c r="V17" s="600" t="s">
        <v>134</v>
      </c>
      <c r="W17" s="601"/>
      <c r="X17" s="601"/>
      <c r="Y17" s="601"/>
      <c r="Z17" s="601"/>
      <c r="AA17" s="601"/>
      <c r="AB17" s="602"/>
      <c r="AC17" s="603" t="s">
        <v>268</v>
      </c>
      <c r="AD17" s="604"/>
      <c r="AE17" s="603" t="s">
        <v>269</v>
      </c>
      <c r="AF17" s="604"/>
      <c r="AG17" s="605"/>
      <c r="AH17" s="606"/>
      <c r="AI17" s="605"/>
      <c r="AJ17" s="606"/>
      <c r="AK17" s="605"/>
      <c r="AL17" s="606"/>
      <c r="AM17" s="605"/>
      <c r="AN17" s="606"/>
      <c r="AO17" s="605"/>
      <c r="AP17" s="606"/>
      <c r="AQ17" s="605"/>
      <c r="AR17" s="606"/>
      <c r="AS17" s="605"/>
      <c r="AT17" s="606"/>
      <c r="AU17" s="605"/>
      <c r="AV17" s="606"/>
      <c r="AW17" s="605"/>
      <c r="AX17" s="606"/>
      <c r="AY17" s="605"/>
      <c r="AZ17" s="606"/>
      <c r="BA17" s="605"/>
      <c r="BB17" s="606"/>
    </row>
    <row r="18" spans="1:54" s="1" customFormat="1" ht="18.75" customHeight="1">
      <c r="A18" s="17"/>
      <c r="B18" s="17"/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572" t="s">
        <v>270</v>
      </c>
      <c r="W18" s="573"/>
      <c r="X18" s="573"/>
      <c r="Y18" s="573"/>
      <c r="Z18" s="573"/>
      <c r="AA18" s="573"/>
      <c r="AB18" s="574"/>
      <c r="AC18" s="575" t="s">
        <v>271</v>
      </c>
      <c r="AD18" s="576"/>
      <c r="AE18" s="575" t="s">
        <v>271</v>
      </c>
      <c r="AF18" s="576"/>
      <c r="AG18" s="263"/>
      <c r="AH18" s="264"/>
      <c r="AI18" s="263"/>
      <c r="AJ18" s="264"/>
      <c r="AK18" s="263"/>
      <c r="AL18" s="264"/>
      <c r="AM18" s="263"/>
      <c r="AN18" s="264"/>
      <c r="AO18" s="263"/>
      <c r="AP18" s="264"/>
      <c r="AQ18" s="263"/>
      <c r="AR18" s="264"/>
      <c r="AS18" s="263"/>
      <c r="AT18" s="264"/>
      <c r="AU18" s="263"/>
      <c r="AV18" s="264"/>
      <c r="AW18" s="263"/>
      <c r="AX18" s="264"/>
      <c r="AY18" s="263"/>
      <c r="AZ18" s="264"/>
      <c r="BA18" s="263"/>
      <c r="BB18" s="264"/>
    </row>
    <row r="19" spans="1:54" s="1" customFormat="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593">
        <v>45027</v>
      </c>
      <c r="W19" s="594"/>
      <c r="X19" s="594"/>
      <c r="Y19" s="594"/>
      <c r="Z19" s="594"/>
      <c r="AA19" s="594"/>
      <c r="AB19" s="595"/>
      <c r="AC19" s="577" t="s">
        <v>272</v>
      </c>
      <c r="AD19" s="578"/>
      <c r="AE19" s="577" t="s">
        <v>272</v>
      </c>
      <c r="AF19" s="578"/>
      <c r="AG19" s="577"/>
      <c r="AH19" s="578"/>
      <c r="AI19" s="577"/>
      <c r="AJ19" s="578"/>
      <c r="AK19" s="577"/>
      <c r="AL19" s="578"/>
      <c r="AM19" s="577"/>
      <c r="AN19" s="578"/>
      <c r="AO19" s="577"/>
      <c r="AP19" s="578"/>
      <c r="AQ19" s="577"/>
      <c r="AR19" s="578"/>
      <c r="AS19" s="577"/>
      <c r="AT19" s="578"/>
      <c r="AU19" s="577"/>
      <c r="AV19" s="578"/>
      <c r="AW19" s="577"/>
      <c r="AX19" s="578"/>
      <c r="AY19" s="577"/>
      <c r="AZ19" s="578"/>
      <c r="BA19" s="577"/>
      <c r="BB19" s="578"/>
    </row>
    <row r="20" spans="1:54" s="126" customFormat="1" ht="14.25" customHeight="1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579" t="s">
        <v>256</v>
      </c>
      <c r="W20" s="580"/>
      <c r="X20" s="580"/>
      <c r="Y20" s="580"/>
      <c r="Z20" s="580"/>
      <c r="AA20" s="580"/>
      <c r="AB20" s="581"/>
      <c r="AC20" s="582"/>
      <c r="AD20" s="583"/>
      <c r="AE20" s="582" t="s">
        <v>155</v>
      </c>
      <c r="AF20" s="583"/>
      <c r="AG20" s="582"/>
      <c r="AH20" s="584"/>
      <c r="AI20" s="582"/>
      <c r="AJ20" s="584"/>
      <c r="AK20" s="587"/>
      <c r="AL20" s="588"/>
      <c r="AM20" s="589"/>
      <c r="AN20" s="590"/>
      <c r="AO20" s="587"/>
      <c r="AP20" s="588"/>
      <c r="AQ20" s="582"/>
      <c r="AR20" s="584"/>
      <c r="AS20" s="591"/>
      <c r="AT20" s="592"/>
      <c r="AU20" s="589"/>
      <c r="AV20" s="590"/>
      <c r="AW20" s="585"/>
      <c r="AX20" s="586"/>
      <c r="AY20" s="582"/>
      <c r="AZ20" s="584"/>
      <c r="BA20" s="582"/>
      <c r="BB20" s="584"/>
    </row>
    <row r="21" spans="1:54" s="225" customFormat="1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24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24"/>
      <c r="AK21" s="224"/>
      <c r="AL21" s="224"/>
      <c r="AM21" s="224"/>
      <c r="AN21" s="224"/>
      <c r="AO21" s="224"/>
      <c r="AP21" s="224"/>
      <c r="AQ21" s="224"/>
      <c r="AR21" s="224"/>
      <c r="AS21" s="224"/>
      <c r="AT21" s="224"/>
      <c r="AU21" s="224"/>
      <c r="AV21" s="224"/>
      <c r="AW21" s="224"/>
    </row>
    <row r="22" spans="1:54" s="1" customFormat="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</row>
    <row r="23" spans="1:54" s="1" customForma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</row>
    <row r="24" spans="1:54" s="1" customFormat="1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54" s="1" customFormat="1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54" s="1" customFormat="1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54" s="1" customFormat="1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spans="1:54" s="1" customFormat="1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54" s="1" customFormat="1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54" s="1" customFormat="1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spans="1:54" s="1" customFormat="1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spans="1:54" s="1" customFormat="1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3:28" s="1" customFormat="1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3:28" s="1" customFormat="1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3:28" s="1" customFormat="1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</sheetData>
  <mergeCells count="153">
    <mergeCell ref="AQ1:AR1"/>
    <mergeCell ref="AS1:AV1"/>
    <mergeCell ref="AW1:AZ1"/>
    <mergeCell ref="Q2:R2"/>
    <mergeCell ref="S2:X2"/>
    <mergeCell ref="Y2:AC2"/>
    <mergeCell ref="AD2:AE2"/>
    <mergeCell ref="AF2:AK2"/>
    <mergeCell ref="AL2:AP2"/>
    <mergeCell ref="AQ2:AR2"/>
    <mergeCell ref="AL1:AP1"/>
    <mergeCell ref="AW11:AX11"/>
    <mergeCell ref="AY11:AZ11"/>
    <mergeCell ref="BA11:BB11"/>
    <mergeCell ref="AO11:AP11"/>
    <mergeCell ref="AQ11:AR11"/>
    <mergeCell ref="AS11:AT11"/>
    <mergeCell ref="AU11:AV11"/>
    <mergeCell ref="AL4:AQ4"/>
    <mergeCell ref="AS2:AV2"/>
    <mergeCell ref="AW2:AZ2"/>
    <mergeCell ref="AK11:AL11"/>
    <mergeCell ref="AM11:AN11"/>
    <mergeCell ref="C11:AB11"/>
    <mergeCell ref="AC11:AD11"/>
    <mergeCell ref="AE11:AF11"/>
    <mergeCell ref="AG11:AH11"/>
    <mergeCell ref="AI11:AJ11"/>
    <mergeCell ref="C1:P2"/>
    <mergeCell ref="Q1:R1"/>
    <mergeCell ref="S1:X1"/>
    <mergeCell ref="Y1:AE1"/>
    <mergeCell ref="AF1:AK1"/>
    <mergeCell ref="C13:P14"/>
    <mergeCell ref="Q13:AB13"/>
    <mergeCell ref="AC13:AD13"/>
    <mergeCell ref="AE13:AF13"/>
    <mergeCell ref="AG13:AH13"/>
    <mergeCell ref="AI13:AJ13"/>
    <mergeCell ref="AK13:AL13"/>
    <mergeCell ref="AM13:AN13"/>
    <mergeCell ref="C12:AB12"/>
    <mergeCell ref="AC12:AD12"/>
    <mergeCell ref="AE12:AF12"/>
    <mergeCell ref="AG12:AH12"/>
    <mergeCell ref="AI12:AJ12"/>
    <mergeCell ref="AK12:AL12"/>
    <mergeCell ref="AM12:AN12"/>
    <mergeCell ref="A11:B12"/>
    <mergeCell ref="BA13:BB13"/>
    <mergeCell ref="Q14:AB14"/>
    <mergeCell ref="AC14:AD14"/>
    <mergeCell ref="AE14:AF14"/>
    <mergeCell ref="AG14:AH14"/>
    <mergeCell ref="AI14:AJ14"/>
    <mergeCell ref="AK14:AL14"/>
    <mergeCell ref="AM14:AN14"/>
    <mergeCell ref="AO14:AP14"/>
    <mergeCell ref="AQ14:AR14"/>
    <mergeCell ref="AO13:AP13"/>
    <mergeCell ref="AQ13:AR13"/>
    <mergeCell ref="AS13:AT13"/>
    <mergeCell ref="AU13:AV13"/>
    <mergeCell ref="AW13:AX13"/>
    <mergeCell ref="AY13:AZ13"/>
    <mergeCell ref="AS14:AT14"/>
    <mergeCell ref="BA12:BB12"/>
    <mergeCell ref="AO12:AP12"/>
    <mergeCell ref="AQ12:AR12"/>
    <mergeCell ref="AU14:AV14"/>
    <mergeCell ref="AW14:AX14"/>
    <mergeCell ref="A13:B14"/>
    <mergeCell ref="AM15:AN15"/>
    <mergeCell ref="AO15:AP15"/>
    <mergeCell ref="AQ15:AR15"/>
    <mergeCell ref="AS15:AT15"/>
    <mergeCell ref="AY16:AZ16"/>
    <mergeCell ref="AS12:AT12"/>
    <mergeCell ref="AU12:AV12"/>
    <mergeCell ref="AW12:AX12"/>
    <mergeCell ref="AY12:AZ12"/>
    <mergeCell ref="AQ17:AR17"/>
    <mergeCell ref="AS17:AT17"/>
    <mergeCell ref="AU17:AV17"/>
    <mergeCell ref="AW17:AX17"/>
    <mergeCell ref="AY17:AZ17"/>
    <mergeCell ref="AY14:AZ14"/>
    <mergeCell ref="BA14:BB14"/>
    <mergeCell ref="A15:B16"/>
    <mergeCell ref="C15:AB15"/>
    <mergeCell ref="AC15:AD15"/>
    <mergeCell ref="AE15:AF15"/>
    <mergeCell ref="AG15:AH15"/>
    <mergeCell ref="AU15:AV15"/>
    <mergeCell ref="AW15:AX15"/>
    <mergeCell ref="AY15:AZ15"/>
    <mergeCell ref="BA15:BB15"/>
    <mergeCell ref="C16:AB16"/>
    <mergeCell ref="AC16:AD16"/>
    <mergeCell ref="AE16:AF16"/>
    <mergeCell ref="AG16:AH16"/>
    <mergeCell ref="AI16:AJ16"/>
    <mergeCell ref="AK16:AL16"/>
    <mergeCell ref="AI15:AJ15"/>
    <mergeCell ref="AK15:AL15"/>
    <mergeCell ref="AE19:AF19"/>
    <mergeCell ref="AG19:AH19"/>
    <mergeCell ref="AI19:AJ19"/>
    <mergeCell ref="AK19:AL19"/>
    <mergeCell ref="AM19:AN19"/>
    <mergeCell ref="AO19:AP19"/>
    <mergeCell ref="AQ19:AR19"/>
    <mergeCell ref="BA16:BB16"/>
    <mergeCell ref="C17:U17"/>
    <mergeCell ref="V17:AB17"/>
    <mergeCell ref="AC17:AD17"/>
    <mergeCell ref="AE17:AF17"/>
    <mergeCell ref="AG17:AH17"/>
    <mergeCell ref="AI17:AJ17"/>
    <mergeCell ref="AK17:AL17"/>
    <mergeCell ref="AM17:AN17"/>
    <mergeCell ref="AM16:AN16"/>
    <mergeCell ref="AO16:AP16"/>
    <mergeCell ref="AQ16:AR16"/>
    <mergeCell ref="AS16:AT16"/>
    <mergeCell ref="AU16:AV16"/>
    <mergeCell ref="AW16:AX16"/>
    <mergeCell ref="BA17:BB17"/>
    <mergeCell ref="AO17:AP17"/>
    <mergeCell ref="V18:AB18"/>
    <mergeCell ref="AC18:AD18"/>
    <mergeCell ref="AE18:AF18"/>
    <mergeCell ref="AS19:AT19"/>
    <mergeCell ref="AU19:AV19"/>
    <mergeCell ref="AW19:AX19"/>
    <mergeCell ref="AY19:AZ19"/>
    <mergeCell ref="BA19:BB19"/>
    <mergeCell ref="V20:AB20"/>
    <mergeCell ref="AC20:AD20"/>
    <mergeCell ref="AE20:AF20"/>
    <mergeCell ref="AG20:AH20"/>
    <mergeCell ref="AI20:AJ20"/>
    <mergeCell ref="AW20:AX20"/>
    <mergeCell ref="AY20:AZ20"/>
    <mergeCell ref="BA20:BB20"/>
    <mergeCell ref="AK20:AL20"/>
    <mergeCell ref="AM20:AN20"/>
    <mergeCell ref="AO20:AP20"/>
    <mergeCell ref="AQ20:AR20"/>
    <mergeCell ref="AS20:AT20"/>
    <mergeCell ref="AU20:AV20"/>
    <mergeCell ref="V19:AB19"/>
    <mergeCell ref="AC19:AD19"/>
  </mergeCells>
  <phoneticPr fontId="2"/>
  <pageMargins left="0.59055118110236227" right="0.59055118110236227" top="0.78740157480314965" bottom="0.59055118110236227" header="0.51181102362204722" footer="0.31496062992125984"/>
  <pageSetup paperSize="9" scale="61" fitToHeight="2" orientation="landscape" r:id="rId1"/>
  <headerFooter alignWithMargins="0">
    <oddFooter>&amp;C&amp;"ＭＳ ゴシック,標準"&amp;10&amp;P&amp;R&amp;"ＭＳ ゴシック,標準"&amp;6&amp;F/&amp;A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61"/>
  <sheetViews>
    <sheetView topLeftCell="A24" zoomScale="115" zoomScaleNormal="115" zoomScaleSheetLayoutView="40" workbookViewId="0">
      <selection activeCell="H45" sqref="H45:N50"/>
    </sheetView>
  </sheetViews>
  <sheetFormatPr defaultColWidth="2.625" defaultRowHeight="12"/>
  <cols>
    <col min="1" max="5" width="2.625" style="285" customWidth="1"/>
    <col min="6" max="6" width="15.125" style="285" customWidth="1"/>
    <col min="7" max="7" width="21.125" style="285" customWidth="1"/>
    <col min="8" max="9" width="11.25" style="285" customWidth="1"/>
    <col min="10" max="10" width="11.875" style="285" customWidth="1"/>
    <col min="11" max="11" width="13.75" style="285" customWidth="1"/>
    <col min="12" max="12" width="13.25" style="285" customWidth="1"/>
    <col min="13" max="13" width="10.125" style="285" customWidth="1"/>
    <col min="14" max="16" width="14.75" style="285" customWidth="1"/>
    <col min="17" max="17" width="11.875" style="285" customWidth="1"/>
    <col min="18" max="18" width="19" style="285" customWidth="1"/>
    <col min="19" max="19" width="12" style="285" customWidth="1"/>
    <col min="20" max="20" width="7.75" style="285" customWidth="1"/>
    <col min="21" max="21" width="5.75" style="285" customWidth="1"/>
    <col min="22" max="22" width="7.625" style="285" customWidth="1"/>
    <col min="23" max="23" width="5.75" style="285" customWidth="1"/>
    <col min="24" max="24" width="17.25" style="285" customWidth="1"/>
    <col min="25" max="26" width="4.25" style="285" customWidth="1"/>
    <col min="27" max="28" width="6.75" style="285" customWidth="1"/>
    <col min="29" max="29" width="5.875" style="285" customWidth="1"/>
    <col min="30" max="34" width="6.25" style="285" customWidth="1"/>
    <col min="35" max="16384" width="2.625" style="285"/>
  </cols>
  <sheetData>
    <row r="1" spans="1:34" s="270" customFormat="1" ht="14.25" customHeight="1">
      <c r="A1" s="265" t="s">
        <v>122</v>
      </c>
      <c r="B1" s="266"/>
      <c r="C1" s="771" t="s">
        <v>100</v>
      </c>
      <c r="D1" s="771"/>
      <c r="E1" s="771"/>
      <c r="F1" s="771"/>
      <c r="G1" s="771"/>
      <c r="H1" s="771"/>
      <c r="I1" s="767" t="s">
        <v>4</v>
      </c>
      <c r="J1" s="768"/>
      <c r="K1" s="763" t="s">
        <v>5</v>
      </c>
      <c r="L1" s="764"/>
      <c r="M1" s="765">
        <f>目次!Y1</f>
        <v>45044</v>
      </c>
      <c r="N1" s="766"/>
      <c r="O1" s="267" t="s">
        <v>6</v>
      </c>
      <c r="P1" s="268" t="str">
        <f>目次!AL1</f>
        <v>徐</v>
      </c>
      <c r="Q1" s="269" t="str">
        <f>目次!AQ1</f>
        <v>JNW</v>
      </c>
      <c r="R1" s="763" t="s">
        <v>7</v>
      </c>
      <c r="S1" s="764"/>
      <c r="T1" s="765">
        <f>目次!AW1</f>
        <v>45027</v>
      </c>
      <c r="U1" s="766"/>
    </row>
    <row r="2" spans="1:34" s="270" customFormat="1" ht="14.25" customHeight="1">
      <c r="A2" s="271"/>
      <c r="B2" s="272"/>
      <c r="C2" s="772"/>
      <c r="D2" s="772"/>
      <c r="E2" s="772"/>
      <c r="F2" s="772"/>
      <c r="G2" s="772"/>
      <c r="H2" s="772"/>
      <c r="I2" s="769">
        <f>目次!Q2</f>
        <v>1</v>
      </c>
      <c r="J2" s="770"/>
      <c r="K2" s="763" t="s">
        <v>8</v>
      </c>
      <c r="L2" s="764"/>
      <c r="M2" s="273" t="str">
        <f>目次!Y2</f>
        <v>福島　副部長</v>
      </c>
      <c r="N2" s="269" t="str">
        <f>目次!AD2</f>
        <v>DIR</v>
      </c>
      <c r="O2" s="267" t="s">
        <v>9</v>
      </c>
      <c r="P2" s="268" t="str">
        <f>目次!AL2</f>
        <v>徐</v>
      </c>
      <c r="Q2" s="269" t="str">
        <f>目次!AQ2</f>
        <v>JNW</v>
      </c>
      <c r="R2" s="763" t="s">
        <v>10</v>
      </c>
      <c r="S2" s="764"/>
      <c r="T2" s="765">
        <f>目次!AW2</f>
        <v>45027</v>
      </c>
      <c r="U2" s="766"/>
    </row>
    <row r="3" spans="1:34" s="279" customFormat="1" ht="14.25">
      <c r="A3" s="274" t="s">
        <v>82</v>
      </c>
      <c r="B3" s="275"/>
      <c r="C3" s="276"/>
      <c r="D3" s="276"/>
      <c r="E3" s="276"/>
      <c r="F3" s="773" t="s">
        <v>83</v>
      </c>
      <c r="G3" s="774"/>
      <c r="H3" s="774"/>
      <c r="I3" s="774"/>
      <c r="J3" s="774"/>
      <c r="K3" s="774"/>
      <c r="L3" s="774"/>
      <c r="M3" s="774"/>
      <c r="N3" s="775"/>
      <c r="O3" s="277" t="s">
        <v>230</v>
      </c>
      <c r="P3" s="779" t="s">
        <v>231</v>
      </c>
      <c r="Q3" s="780"/>
      <c r="R3" s="782"/>
      <c r="S3" s="782"/>
      <c r="T3" s="782"/>
      <c r="U3" s="782"/>
      <c r="V3" s="278"/>
      <c r="W3" s="278"/>
      <c r="X3" s="278"/>
      <c r="Y3" s="278"/>
      <c r="Z3" s="278"/>
      <c r="AA3" s="278"/>
      <c r="AB3" s="278"/>
      <c r="AC3" s="278"/>
      <c r="AD3" s="278"/>
      <c r="AE3" s="278"/>
      <c r="AF3" s="278"/>
      <c r="AG3" s="278"/>
      <c r="AH3" s="278"/>
    </row>
    <row r="4" spans="1:34" s="279" customFormat="1" ht="14.25">
      <c r="A4" s="280" t="str">
        <f>目次!A4</f>
        <v>MAET86S1</v>
      </c>
      <c r="B4" s="281"/>
      <c r="C4" s="282"/>
      <c r="D4" s="282"/>
      <c r="E4" s="282"/>
      <c r="F4" s="776" t="str">
        <f>目次!F4</f>
        <v>ＡＣＰ同一人識別番号付加処理</v>
      </c>
      <c r="G4" s="777"/>
      <c r="H4" s="777"/>
      <c r="I4" s="777"/>
      <c r="J4" s="777"/>
      <c r="K4" s="777"/>
      <c r="L4" s="777"/>
      <c r="M4" s="777"/>
      <c r="N4" s="778"/>
      <c r="O4" s="283">
        <v>10</v>
      </c>
      <c r="P4" s="781">
        <v>0</v>
      </c>
      <c r="Q4" s="781"/>
      <c r="R4" s="782"/>
      <c r="S4" s="782"/>
      <c r="T4" s="782"/>
      <c r="U4" s="782"/>
      <c r="V4" s="278"/>
      <c r="W4" s="278"/>
      <c r="X4" s="278"/>
      <c r="Y4" s="278"/>
      <c r="Z4" s="278"/>
      <c r="AA4" s="278"/>
      <c r="AB4" s="278"/>
      <c r="AC4" s="278"/>
      <c r="AD4" s="278"/>
      <c r="AE4" s="278"/>
      <c r="AF4" s="278"/>
      <c r="AG4" s="278"/>
      <c r="AH4" s="278"/>
    </row>
    <row r="5" spans="1:34" ht="12" customHeight="1">
      <c r="A5" s="284" t="s">
        <v>161</v>
      </c>
      <c r="B5" s="284"/>
      <c r="C5" s="284"/>
      <c r="D5" s="284"/>
      <c r="E5" s="284"/>
      <c r="F5" s="284"/>
      <c r="G5" s="284"/>
      <c r="H5" s="284"/>
      <c r="I5" s="284"/>
      <c r="J5" s="284"/>
      <c r="K5" s="284"/>
      <c r="L5" s="284"/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  <c r="AC5" s="284"/>
      <c r="AD5" s="284"/>
      <c r="AE5" s="284"/>
      <c r="AF5" s="284"/>
      <c r="AG5" s="284"/>
      <c r="AH5" s="284"/>
    </row>
    <row r="6" spans="1:34" ht="12" customHeight="1">
      <c r="A6" s="284"/>
      <c r="B6" s="284"/>
      <c r="C6" s="284"/>
      <c r="D6" s="284"/>
      <c r="E6" s="284"/>
      <c r="F6" s="284"/>
      <c r="G6" s="284"/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</row>
    <row r="7" spans="1:34" s="253" customFormat="1" ht="13.5" customHeight="1">
      <c r="A7" s="249"/>
      <c r="B7" s="250" t="s">
        <v>190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</row>
    <row r="8" spans="1:34" s="288" customFormat="1">
      <c r="A8" s="286"/>
      <c r="B8" s="287" t="s">
        <v>191</v>
      </c>
      <c r="C8" s="287"/>
      <c r="D8" s="286"/>
      <c r="E8" s="287"/>
      <c r="F8" s="287"/>
      <c r="G8" s="287"/>
      <c r="H8" s="287"/>
      <c r="I8" s="287"/>
      <c r="J8" s="287"/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/>
      <c r="V8" s="287"/>
      <c r="W8" s="287"/>
      <c r="X8" s="287"/>
      <c r="Y8" s="287"/>
      <c r="Z8" s="287"/>
      <c r="AA8" s="287"/>
      <c r="AB8" s="287"/>
      <c r="AC8" s="287"/>
      <c r="AD8" s="287"/>
      <c r="AE8" s="287"/>
      <c r="AF8" s="287"/>
      <c r="AG8" s="287"/>
      <c r="AH8" s="287"/>
    </row>
    <row r="9" spans="1:34" s="260" customFormat="1" ht="13.5" customHeight="1">
      <c r="A9" s="258"/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</row>
    <row r="10" spans="1:34" s="260" customFormat="1" ht="13.5" customHeight="1">
      <c r="A10" s="258"/>
      <c r="B10" s="677" t="s">
        <v>162</v>
      </c>
      <c r="C10" s="678"/>
      <c r="D10" s="678"/>
      <c r="E10" s="679"/>
      <c r="F10" s="704" t="s">
        <v>163</v>
      </c>
      <c r="G10" s="705"/>
      <c r="H10" s="705"/>
      <c r="I10" s="706"/>
      <c r="J10" s="695" t="s">
        <v>164</v>
      </c>
      <c r="K10" s="697"/>
      <c r="L10" s="715" t="s">
        <v>165</v>
      </c>
      <c r="M10" s="716"/>
      <c r="N10" s="716"/>
      <c r="O10" s="717"/>
      <c r="P10" s="686" t="s">
        <v>166</v>
      </c>
      <c r="Q10" s="687"/>
      <c r="R10" s="687"/>
      <c r="S10" s="687"/>
      <c r="T10" s="687"/>
      <c r="U10" s="688"/>
      <c r="V10" s="686" t="s">
        <v>167</v>
      </c>
      <c r="W10" s="687"/>
      <c r="X10" s="687"/>
      <c r="Y10" s="688"/>
    </row>
    <row r="11" spans="1:34" s="260" customFormat="1" ht="13.5" customHeight="1">
      <c r="A11" s="261"/>
      <c r="B11" s="680"/>
      <c r="C11" s="681"/>
      <c r="D11" s="681"/>
      <c r="E11" s="682"/>
      <c r="F11" s="710"/>
      <c r="G11" s="711"/>
      <c r="H11" s="711"/>
      <c r="I11" s="712"/>
      <c r="J11" s="701"/>
      <c r="K11" s="703"/>
      <c r="L11" s="718"/>
      <c r="M11" s="719"/>
      <c r="N11" s="719"/>
      <c r="O11" s="720"/>
      <c r="P11" s="689"/>
      <c r="Q11" s="690"/>
      <c r="R11" s="690"/>
      <c r="S11" s="690"/>
      <c r="T11" s="690"/>
      <c r="U11" s="691"/>
      <c r="V11" s="689"/>
      <c r="W11" s="690"/>
      <c r="X11" s="690"/>
      <c r="Y11" s="691"/>
    </row>
    <row r="12" spans="1:34" s="260" customFormat="1" ht="13.5" customHeight="1">
      <c r="A12" s="261"/>
      <c r="B12" s="680"/>
      <c r="C12" s="681"/>
      <c r="D12" s="681"/>
      <c r="E12" s="682"/>
      <c r="F12" s="738" t="s">
        <v>192</v>
      </c>
      <c r="G12" s="739"/>
      <c r="H12" s="738" t="s">
        <v>193</v>
      </c>
      <c r="I12" s="739"/>
      <c r="J12" s="742" t="s">
        <v>205</v>
      </c>
      <c r="K12" s="743"/>
      <c r="L12" s="718"/>
      <c r="M12" s="719"/>
      <c r="N12" s="719"/>
      <c r="O12" s="720"/>
      <c r="P12" s="689"/>
      <c r="Q12" s="690"/>
      <c r="R12" s="690"/>
      <c r="S12" s="690"/>
      <c r="T12" s="690"/>
      <c r="U12" s="691"/>
      <c r="V12" s="689"/>
      <c r="W12" s="690"/>
      <c r="X12" s="690"/>
      <c r="Y12" s="691"/>
      <c r="Z12" s="289"/>
      <c r="AA12" s="289"/>
      <c r="AB12" s="289"/>
      <c r="AC12" s="289"/>
      <c r="AD12" s="289"/>
      <c r="AE12" s="289"/>
      <c r="AF12" s="289"/>
      <c r="AG12" s="289"/>
      <c r="AH12" s="289"/>
    </row>
    <row r="13" spans="1:34" s="260" customFormat="1" ht="13.5" customHeight="1">
      <c r="A13" s="261"/>
      <c r="B13" s="683"/>
      <c r="C13" s="684"/>
      <c r="D13" s="684"/>
      <c r="E13" s="685"/>
      <c r="F13" s="740"/>
      <c r="G13" s="741"/>
      <c r="H13" s="740"/>
      <c r="I13" s="741"/>
      <c r="J13" s="744"/>
      <c r="K13" s="745"/>
      <c r="L13" s="721"/>
      <c r="M13" s="722"/>
      <c r="N13" s="722"/>
      <c r="O13" s="723"/>
      <c r="P13" s="692"/>
      <c r="Q13" s="693"/>
      <c r="R13" s="693"/>
      <c r="S13" s="693"/>
      <c r="T13" s="693"/>
      <c r="U13" s="694"/>
      <c r="V13" s="692"/>
      <c r="W13" s="693"/>
      <c r="X13" s="693"/>
      <c r="Y13" s="694"/>
      <c r="Z13" s="289"/>
      <c r="AA13" s="289"/>
      <c r="AB13" s="289"/>
      <c r="AC13" s="289"/>
      <c r="AD13" s="289"/>
      <c r="AE13" s="289"/>
      <c r="AF13" s="289"/>
      <c r="AG13" s="289"/>
      <c r="AH13" s="289"/>
    </row>
    <row r="14" spans="1:34" s="260" customFormat="1" ht="75.75" customHeight="1">
      <c r="A14" s="261"/>
      <c r="B14" s="662" t="s">
        <v>145</v>
      </c>
      <c r="C14" s="663"/>
      <c r="D14" s="663"/>
      <c r="E14" s="664"/>
      <c r="F14" s="671" t="s">
        <v>168</v>
      </c>
      <c r="G14" s="673"/>
      <c r="H14" s="671" t="s">
        <v>263</v>
      </c>
      <c r="I14" s="673"/>
      <c r="J14" s="674" t="s">
        <v>168</v>
      </c>
      <c r="K14" s="676"/>
      <c r="L14" s="754" t="s">
        <v>238</v>
      </c>
      <c r="M14" s="755"/>
      <c r="N14" s="755"/>
      <c r="O14" s="756"/>
      <c r="P14" s="757" t="s">
        <v>259</v>
      </c>
      <c r="Q14" s="758"/>
      <c r="R14" s="758"/>
      <c r="S14" s="758"/>
      <c r="T14" s="758"/>
      <c r="U14" s="759"/>
      <c r="V14" s="746">
        <v>45027</v>
      </c>
      <c r="W14" s="747"/>
      <c r="X14" s="747"/>
      <c r="Y14" s="748"/>
      <c r="Z14" s="290"/>
      <c r="AA14" s="290"/>
      <c r="AB14" s="290"/>
      <c r="AC14" s="290"/>
      <c r="AD14" s="290"/>
      <c r="AE14" s="290"/>
      <c r="AF14" s="290"/>
      <c r="AG14" s="290"/>
      <c r="AH14" s="290"/>
    </row>
    <row r="15" spans="1:34" s="260" customFormat="1">
      <c r="A15" s="261"/>
      <c r="B15" s="291"/>
      <c r="C15" s="258"/>
      <c r="D15" s="258"/>
      <c r="E15" s="258"/>
      <c r="F15" s="292"/>
      <c r="G15" s="292"/>
      <c r="H15" s="292"/>
      <c r="I15" s="292"/>
      <c r="J15" s="292"/>
      <c r="K15" s="292"/>
      <c r="L15" s="293"/>
      <c r="M15" s="292"/>
      <c r="N15" s="292"/>
      <c r="O15" s="292"/>
      <c r="P15" s="292"/>
      <c r="Q15" s="292"/>
      <c r="R15" s="292"/>
      <c r="S15" s="292"/>
      <c r="T15" s="292"/>
      <c r="U15" s="292"/>
      <c r="V15" s="292"/>
      <c r="W15" s="292"/>
      <c r="X15" s="292"/>
      <c r="Y15" s="292"/>
      <c r="Z15" s="292"/>
      <c r="AA15" s="292"/>
      <c r="AB15" s="292"/>
      <c r="AC15" s="292"/>
      <c r="AD15" s="292"/>
      <c r="AE15" s="292"/>
      <c r="AF15" s="292"/>
      <c r="AG15" s="292"/>
      <c r="AH15" s="292"/>
    </row>
    <row r="16" spans="1:34" s="294" customFormat="1"/>
    <row r="17" spans="1:34" s="253" customFormat="1" ht="13.5" customHeight="1">
      <c r="A17" s="249"/>
      <c r="B17" s="250" t="s">
        <v>195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  <c r="W17" s="251"/>
      <c r="X17" s="251"/>
      <c r="Y17" s="251"/>
      <c r="Z17" s="251"/>
      <c r="AA17" s="251"/>
      <c r="AB17" s="251"/>
      <c r="AC17" s="251"/>
      <c r="AD17" s="251"/>
      <c r="AE17" s="251"/>
      <c r="AF17" s="251"/>
      <c r="AG17" s="251"/>
      <c r="AH17" s="251"/>
    </row>
    <row r="18" spans="1:34" s="288" customFormat="1">
      <c r="A18" s="286"/>
      <c r="B18" s="287" t="s">
        <v>191</v>
      </c>
      <c r="C18" s="287"/>
      <c r="D18" s="286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</row>
    <row r="19" spans="1:34" s="260" customFormat="1" ht="13.5" customHeight="1">
      <c r="A19" s="258"/>
      <c r="B19" s="258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8"/>
      <c r="P19" s="258"/>
      <c r="Q19" s="258"/>
      <c r="R19" s="258"/>
      <c r="S19" s="258"/>
      <c r="T19" s="258"/>
      <c r="U19" s="258"/>
      <c r="V19" s="258"/>
      <c r="W19" s="258"/>
      <c r="X19" s="258"/>
      <c r="Y19" s="258"/>
      <c r="Z19" s="258"/>
      <c r="AA19" s="258"/>
      <c r="AB19" s="258"/>
      <c r="AC19" s="258"/>
      <c r="AD19" s="258"/>
      <c r="AE19" s="258"/>
      <c r="AF19" s="258"/>
      <c r="AG19" s="258"/>
      <c r="AH19" s="258"/>
    </row>
    <row r="20" spans="1:34" s="260" customFormat="1" ht="13.5" customHeight="1">
      <c r="A20" s="258"/>
      <c r="B20" s="677" t="s">
        <v>162</v>
      </c>
      <c r="C20" s="678"/>
      <c r="D20" s="678"/>
      <c r="E20" s="679"/>
      <c r="F20" s="704" t="s">
        <v>163</v>
      </c>
      <c r="G20" s="705"/>
      <c r="H20" s="705"/>
      <c r="I20" s="706"/>
      <c r="J20" s="695" t="s">
        <v>164</v>
      </c>
      <c r="K20" s="697"/>
      <c r="L20" s="715" t="s">
        <v>165</v>
      </c>
      <c r="M20" s="716"/>
      <c r="N20" s="716"/>
      <c r="O20" s="717"/>
      <c r="P20" s="686" t="s">
        <v>166</v>
      </c>
      <c r="Q20" s="687"/>
      <c r="R20" s="687"/>
      <c r="S20" s="687"/>
      <c r="T20" s="687"/>
      <c r="U20" s="688"/>
      <c r="V20" s="686" t="s">
        <v>167</v>
      </c>
      <c r="W20" s="687"/>
      <c r="X20" s="687"/>
      <c r="Y20" s="688"/>
    </row>
    <row r="21" spans="1:34" s="260" customFormat="1" ht="13.5" customHeight="1">
      <c r="A21" s="261"/>
      <c r="B21" s="680"/>
      <c r="C21" s="681"/>
      <c r="D21" s="681"/>
      <c r="E21" s="682"/>
      <c r="F21" s="710"/>
      <c r="G21" s="711"/>
      <c r="H21" s="711"/>
      <c r="I21" s="712"/>
      <c r="J21" s="701"/>
      <c r="K21" s="703"/>
      <c r="L21" s="718"/>
      <c r="M21" s="719"/>
      <c r="N21" s="719"/>
      <c r="O21" s="720"/>
      <c r="P21" s="689"/>
      <c r="Q21" s="690"/>
      <c r="R21" s="690"/>
      <c r="S21" s="690"/>
      <c r="T21" s="690"/>
      <c r="U21" s="691"/>
      <c r="V21" s="689"/>
      <c r="W21" s="690"/>
      <c r="X21" s="690"/>
      <c r="Y21" s="691"/>
    </row>
    <row r="22" spans="1:34" s="260" customFormat="1" ht="13.5" customHeight="1">
      <c r="A22" s="261"/>
      <c r="B22" s="680"/>
      <c r="C22" s="681"/>
      <c r="D22" s="681"/>
      <c r="E22" s="682"/>
      <c r="F22" s="738" t="s">
        <v>192</v>
      </c>
      <c r="G22" s="739"/>
      <c r="H22" s="738" t="s">
        <v>193</v>
      </c>
      <c r="I22" s="739"/>
      <c r="J22" s="742" t="s">
        <v>205</v>
      </c>
      <c r="K22" s="743"/>
      <c r="L22" s="718"/>
      <c r="M22" s="719"/>
      <c r="N22" s="719"/>
      <c r="O22" s="720"/>
      <c r="P22" s="689"/>
      <c r="Q22" s="690"/>
      <c r="R22" s="690"/>
      <c r="S22" s="690"/>
      <c r="T22" s="690"/>
      <c r="U22" s="691"/>
      <c r="V22" s="689"/>
      <c r="W22" s="690"/>
      <c r="X22" s="690"/>
      <c r="Y22" s="691"/>
      <c r="Z22" s="289"/>
      <c r="AA22" s="289"/>
      <c r="AB22" s="289"/>
      <c r="AC22" s="289"/>
      <c r="AD22" s="289"/>
      <c r="AE22" s="289"/>
      <c r="AF22" s="289"/>
      <c r="AG22" s="289"/>
      <c r="AH22" s="289"/>
    </row>
    <row r="23" spans="1:34" s="260" customFormat="1" ht="13.5" customHeight="1">
      <c r="A23" s="261"/>
      <c r="B23" s="683"/>
      <c r="C23" s="684"/>
      <c r="D23" s="684"/>
      <c r="E23" s="685"/>
      <c r="F23" s="740"/>
      <c r="G23" s="741"/>
      <c r="H23" s="740"/>
      <c r="I23" s="741"/>
      <c r="J23" s="744"/>
      <c r="K23" s="745"/>
      <c r="L23" s="721"/>
      <c r="M23" s="722"/>
      <c r="N23" s="722"/>
      <c r="O23" s="723"/>
      <c r="P23" s="692"/>
      <c r="Q23" s="693"/>
      <c r="R23" s="693"/>
      <c r="S23" s="693"/>
      <c r="T23" s="693"/>
      <c r="U23" s="694"/>
      <c r="V23" s="692"/>
      <c r="W23" s="693"/>
      <c r="X23" s="693"/>
      <c r="Y23" s="694"/>
      <c r="Z23" s="289"/>
      <c r="AA23" s="289"/>
      <c r="AB23" s="289"/>
      <c r="AC23" s="289"/>
      <c r="AD23" s="289"/>
      <c r="AE23" s="289"/>
      <c r="AF23" s="289"/>
      <c r="AG23" s="289"/>
      <c r="AH23" s="289"/>
    </row>
    <row r="24" spans="1:34" s="260" customFormat="1" ht="75.75" customHeight="1">
      <c r="A24" s="261"/>
      <c r="B24" s="662" t="s">
        <v>157</v>
      </c>
      <c r="C24" s="663"/>
      <c r="D24" s="663"/>
      <c r="E24" s="664"/>
      <c r="F24" s="671" t="s">
        <v>264</v>
      </c>
      <c r="G24" s="673"/>
      <c r="H24" s="671" t="s">
        <v>194</v>
      </c>
      <c r="I24" s="673"/>
      <c r="J24" s="674" t="s">
        <v>168</v>
      </c>
      <c r="K24" s="676"/>
      <c r="L24" s="754" t="s">
        <v>239</v>
      </c>
      <c r="M24" s="755"/>
      <c r="N24" s="755"/>
      <c r="O24" s="756"/>
      <c r="P24" s="757" t="s">
        <v>260</v>
      </c>
      <c r="Q24" s="758"/>
      <c r="R24" s="758"/>
      <c r="S24" s="758"/>
      <c r="T24" s="758"/>
      <c r="U24" s="759"/>
      <c r="V24" s="746">
        <v>45027</v>
      </c>
      <c r="W24" s="747"/>
      <c r="X24" s="747"/>
      <c r="Y24" s="748"/>
      <c r="Z24" s="290"/>
      <c r="AA24" s="290"/>
      <c r="AB24" s="290"/>
      <c r="AC24" s="290"/>
      <c r="AD24" s="290"/>
      <c r="AE24" s="290"/>
      <c r="AF24" s="290"/>
      <c r="AG24" s="290"/>
      <c r="AH24" s="290"/>
    </row>
    <row r="25" spans="1:34" s="260" customFormat="1" ht="16.5" customHeight="1">
      <c r="A25" s="261"/>
      <c r="B25" s="291"/>
      <c r="C25" s="258"/>
      <c r="D25" s="258"/>
      <c r="E25" s="258"/>
      <c r="F25" s="292"/>
      <c r="G25" s="292"/>
      <c r="H25" s="295"/>
      <c r="I25" s="295"/>
      <c r="J25" s="293"/>
      <c r="K25" s="293"/>
      <c r="L25" s="293"/>
      <c r="M25" s="293"/>
      <c r="N25" s="296"/>
      <c r="O25" s="296"/>
      <c r="P25" s="296"/>
      <c r="Q25" s="296"/>
      <c r="R25" s="296"/>
      <c r="S25" s="296"/>
      <c r="T25" s="297"/>
      <c r="U25" s="297"/>
      <c r="V25" s="297"/>
      <c r="W25" s="297"/>
      <c r="X25" s="290"/>
      <c r="Y25" s="290"/>
      <c r="Z25" s="290"/>
      <c r="AA25" s="290"/>
      <c r="AB25" s="290"/>
      <c r="AC25" s="290"/>
      <c r="AD25" s="290"/>
      <c r="AE25" s="290"/>
      <c r="AF25" s="290"/>
      <c r="AG25" s="295"/>
      <c r="AH25" s="295"/>
    </row>
    <row r="26" spans="1:34" s="253" customFormat="1" ht="13.5" customHeight="1">
      <c r="A26" s="249"/>
      <c r="B26" s="250" t="s">
        <v>196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  <c r="W26" s="251"/>
      <c r="X26" s="251"/>
      <c r="Y26" s="251"/>
      <c r="Z26" s="251"/>
      <c r="AA26" s="251"/>
      <c r="AB26" s="251"/>
      <c r="AC26" s="251"/>
      <c r="AD26" s="251"/>
      <c r="AE26" s="251"/>
      <c r="AF26" s="251"/>
      <c r="AG26" s="251"/>
      <c r="AH26" s="251"/>
    </row>
    <row r="27" spans="1:34" s="288" customFormat="1">
      <c r="A27" s="286"/>
      <c r="B27" s="287" t="s">
        <v>191</v>
      </c>
      <c r="C27" s="287"/>
      <c r="D27" s="286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7"/>
      <c r="AD27" s="287"/>
      <c r="AE27" s="287"/>
      <c r="AF27" s="287"/>
      <c r="AG27" s="287"/>
      <c r="AH27" s="287"/>
    </row>
    <row r="28" spans="1:34" s="260" customFormat="1" ht="13.5" customHeight="1">
      <c r="A28" s="258"/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8"/>
      <c r="N28" s="258"/>
      <c r="O28" s="258"/>
      <c r="P28" s="258"/>
      <c r="Q28" s="258"/>
      <c r="R28" s="258"/>
      <c r="S28" s="258"/>
      <c r="T28" s="258"/>
      <c r="U28" s="258"/>
      <c r="V28" s="258"/>
      <c r="W28" s="258"/>
      <c r="X28" s="258"/>
      <c r="Y28" s="258"/>
      <c r="Z28" s="258"/>
      <c r="AA28" s="258"/>
      <c r="AB28" s="258"/>
      <c r="AC28" s="258"/>
      <c r="AD28" s="258"/>
      <c r="AE28" s="258"/>
      <c r="AF28" s="258"/>
      <c r="AG28" s="258"/>
      <c r="AH28" s="258"/>
    </row>
    <row r="29" spans="1:34" s="260" customFormat="1" ht="13.5" customHeight="1">
      <c r="A29" s="258"/>
      <c r="B29" s="677" t="s">
        <v>162</v>
      </c>
      <c r="C29" s="678"/>
      <c r="D29" s="678"/>
      <c r="E29" s="679"/>
      <c r="F29" s="704" t="s">
        <v>163</v>
      </c>
      <c r="G29" s="705"/>
      <c r="H29" s="705"/>
      <c r="I29" s="706"/>
      <c r="J29" s="695" t="s">
        <v>164</v>
      </c>
      <c r="K29" s="697"/>
      <c r="L29" s="715" t="s">
        <v>165</v>
      </c>
      <c r="M29" s="716"/>
      <c r="N29" s="716"/>
      <c r="O29" s="717"/>
      <c r="P29" s="686" t="s">
        <v>166</v>
      </c>
      <c r="Q29" s="687"/>
      <c r="R29" s="687"/>
      <c r="S29" s="687"/>
      <c r="T29" s="687"/>
      <c r="U29" s="688"/>
      <c r="V29" s="686" t="s">
        <v>167</v>
      </c>
      <c r="W29" s="687"/>
      <c r="X29" s="687"/>
      <c r="Y29" s="688"/>
    </row>
    <row r="30" spans="1:34" s="260" customFormat="1" ht="13.5" customHeight="1">
      <c r="A30" s="261"/>
      <c r="B30" s="680"/>
      <c r="C30" s="681"/>
      <c r="D30" s="681"/>
      <c r="E30" s="682"/>
      <c r="F30" s="710"/>
      <c r="G30" s="711"/>
      <c r="H30" s="711"/>
      <c r="I30" s="712"/>
      <c r="J30" s="701"/>
      <c r="K30" s="703"/>
      <c r="L30" s="718"/>
      <c r="M30" s="719"/>
      <c r="N30" s="719"/>
      <c r="O30" s="720"/>
      <c r="P30" s="689"/>
      <c r="Q30" s="690"/>
      <c r="R30" s="690"/>
      <c r="S30" s="690"/>
      <c r="T30" s="690"/>
      <c r="U30" s="691"/>
      <c r="V30" s="689"/>
      <c r="W30" s="690"/>
      <c r="X30" s="690"/>
      <c r="Y30" s="691"/>
    </row>
    <row r="31" spans="1:34" s="260" customFormat="1" ht="13.5" customHeight="1">
      <c r="A31" s="261"/>
      <c r="B31" s="680"/>
      <c r="C31" s="681"/>
      <c r="D31" s="681"/>
      <c r="E31" s="682"/>
      <c r="F31" s="738" t="s">
        <v>192</v>
      </c>
      <c r="G31" s="739"/>
      <c r="H31" s="738" t="s">
        <v>193</v>
      </c>
      <c r="I31" s="739"/>
      <c r="J31" s="742" t="s">
        <v>205</v>
      </c>
      <c r="K31" s="743"/>
      <c r="L31" s="718"/>
      <c r="M31" s="719"/>
      <c r="N31" s="719"/>
      <c r="O31" s="720"/>
      <c r="P31" s="689"/>
      <c r="Q31" s="690"/>
      <c r="R31" s="690"/>
      <c r="S31" s="690"/>
      <c r="T31" s="690"/>
      <c r="U31" s="691"/>
      <c r="V31" s="689"/>
      <c r="W31" s="690"/>
      <c r="X31" s="690"/>
      <c r="Y31" s="691"/>
      <c r="Z31" s="289"/>
      <c r="AA31" s="289"/>
      <c r="AB31" s="289"/>
      <c r="AC31" s="289"/>
      <c r="AD31" s="289"/>
      <c r="AE31" s="289"/>
      <c r="AF31" s="289"/>
      <c r="AG31" s="289"/>
      <c r="AH31" s="289"/>
    </row>
    <row r="32" spans="1:34" s="260" customFormat="1" ht="13.5" customHeight="1">
      <c r="A32" s="261"/>
      <c r="B32" s="683"/>
      <c r="C32" s="684"/>
      <c r="D32" s="684"/>
      <c r="E32" s="685"/>
      <c r="F32" s="740"/>
      <c r="G32" s="741"/>
      <c r="H32" s="740"/>
      <c r="I32" s="741"/>
      <c r="J32" s="744"/>
      <c r="K32" s="745"/>
      <c r="L32" s="721"/>
      <c r="M32" s="722"/>
      <c r="N32" s="722"/>
      <c r="O32" s="723"/>
      <c r="P32" s="692"/>
      <c r="Q32" s="693"/>
      <c r="R32" s="693"/>
      <c r="S32" s="693"/>
      <c r="T32" s="693"/>
      <c r="U32" s="694"/>
      <c r="V32" s="692"/>
      <c r="W32" s="693"/>
      <c r="X32" s="693"/>
      <c r="Y32" s="694"/>
      <c r="Z32" s="289"/>
      <c r="AA32" s="289"/>
      <c r="AB32" s="289"/>
      <c r="AC32" s="289"/>
      <c r="AD32" s="289"/>
      <c r="AE32" s="289"/>
      <c r="AF32" s="289"/>
      <c r="AG32" s="289"/>
      <c r="AH32" s="289"/>
    </row>
    <row r="33" spans="1:34" s="260" customFormat="1" ht="75.75" customHeight="1">
      <c r="A33" s="261"/>
      <c r="B33" s="662" t="s">
        <v>158</v>
      </c>
      <c r="C33" s="663"/>
      <c r="D33" s="663"/>
      <c r="E33" s="664"/>
      <c r="F33" s="671" t="s">
        <v>168</v>
      </c>
      <c r="G33" s="673"/>
      <c r="H33" s="671" t="s">
        <v>194</v>
      </c>
      <c r="I33" s="673"/>
      <c r="J33" s="674" t="s">
        <v>168</v>
      </c>
      <c r="K33" s="676"/>
      <c r="L33" s="754" t="s">
        <v>240</v>
      </c>
      <c r="M33" s="755"/>
      <c r="N33" s="755"/>
      <c r="O33" s="756"/>
      <c r="P33" s="757" t="s">
        <v>261</v>
      </c>
      <c r="Q33" s="758"/>
      <c r="R33" s="758"/>
      <c r="S33" s="758"/>
      <c r="T33" s="758"/>
      <c r="U33" s="759"/>
      <c r="V33" s="746">
        <v>45027</v>
      </c>
      <c r="W33" s="747"/>
      <c r="X33" s="747"/>
      <c r="Y33" s="748"/>
      <c r="Z33" s="290"/>
      <c r="AA33" s="290"/>
      <c r="AB33" s="290"/>
      <c r="AC33" s="290"/>
      <c r="AD33" s="290"/>
      <c r="AE33" s="290"/>
      <c r="AF33" s="290"/>
      <c r="AG33" s="290"/>
      <c r="AH33" s="290"/>
    </row>
    <row r="34" spans="1:34" s="260" customFormat="1" ht="16.5" customHeight="1">
      <c r="A34" s="261"/>
      <c r="B34" s="291"/>
      <c r="C34" s="258"/>
      <c r="D34" s="258"/>
      <c r="E34" s="258"/>
      <c r="F34" s="292"/>
      <c r="G34" s="292"/>
      <c r="H34" s="295"/>
      <c r="I34" s="295"/>
      <c r="J34" s="293"/>
      <c r="K34" s="293"/>
      <c r="L34" s="293"/>
      <c r="M34" s="293"/>
      <c r="N34" s="296"/>
      <c r="O34" s="296"/>
      <c r="P34" s="296"/>
      <c r="Q34" s="296"/>
      <c r="R34" s="296"/>
      <c r="S34" s="296"/>
      <c r="T34" s="297"/>
      <c r="U34" s="297"/>
      <c r="V34" s="297"/>
      <c r="W34" s="297"/>
      <c r="X34" s="290"/>
      <c r="Y34" s="290"/>
      <c r="Z34" s="290"/>
      <c r="AA34" s="290"/>
      <c r="AB34" s="290"/>
      <c r="AC34" s="290"/>
      <c r="AD34" s="290"/>
      <c r="AE34" s="290"/>
      <c r="AF34" s="290"/>
      <c r="AG34" s="295"/>
      <c r="AH34" s="295"/>
    </row>
    <row r="35" spans="1:34" s="253" customFormat="1" ht="13.5" customHeight="1">
      <c r="A35" s="249"/>
      <c r="B35" s="298" t="s">
        <v>197</v>
      </c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  <c r="W35" s="251"/>
      <c r="X35" s="251"/>
      <c r="Y35" s="251"/>
      <c r="Z35" s="251"/>
      <c r="AA35" s="251"/>
      <c r="AB35" s="251"/>
      <c r="AC35" s="251"/>
      <c r="AD35" s="251"/>
      <c r="AE35" s="251"/>
      <c r="AF35" s="251"/>
      <c r="AG35" s="251"/>
      <c r="AH35" s="251"/>
    </row>
    <row r="36" spans="1:34" s="288" customFormat="1">
      <c r="A36" s="286"/>
      <c r="B36" s="287" t="s">
        <v>198</v>
      </c>
      <c r="C36" s="287"/>
      <c r="D36" s="286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R36" s="287"/>
      <c r="S36" s="287"/>
      <c r="T36" s="287"/>
      <c r="U36" s="287"/>
      <c r="V36" s="287"/>
      <c r="W36" s="287"/>
      <c r="X36" s="287"/>
      <c r="Y36" s="287"/>
      <c r="Z36" s="287"/>
      <c r="AA36" s="287"/>
      <c r="AB36" s="287"/>
      <c r="AC36" s="287"/>
      <c r="AD36" s="287"/>
      <c r="AE36" s="287"/>
      <c r="AF36" s="287"/>
      <c r="AG36" s="287"/>
      <c r="AH36" s="287"/>
    </row>
    <row r="37" spans="1:34" s="288" customFormat="1">
      <c r="A37" s="286"/>
      <c r="B37" s="287" t="s">
        <v>243</v>
      </c>
      <c r="C37" s="287"/>
      <c r="D37" s="286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87"/>
      <c r="AB37" s="287"/>
      <c r="AC37" s="287"/>
      <c r="AD37" s="287"/>
      <c r="AE37" s="287"/>
      <c r="AF37" s="287"/>
      <c r="AG37" s="287"/>
      <c r="AH37" s="287"/>
    </row>
    <row r="38" spans="1:34" s="288" customFormat="1">
      <c r="A38" s="286"/>
      <c r="B38" s="287"/>
      <c r="C38" s="287"/>
      <c r="D38" s="286"/>
      <c r="E38" s="287"/>
      <c r="F38" s="287"/>
      <c r="G38" s="287"/>
      <c r="H38" s="287"/>
      <c r="I38" s="287"/>
      <c r="J38" s="287"/>
      <c r="K38" s="287"/>
      <c r="L38" s="287"/>
      <c r="M38" s="287"/>
      <c r="N38" s="287"/>
      <c r="O38" s="287"/>
      <c r="P38" s="287"/>
      <c r="Q38" s="287"/>
      <c r="R38" s="287"/>
      <c r="S38" s="287"/>
      <c r="T38" s="287"/>
      <c r="U38" s="287"/>
      <c r="V38" s="287"/>
      <c r="W38" s="287"/>
      <c r="X38" s="287"/>
      <c r="Y38" s="287"/>
      <c r="Z38" s="287"/>
      <c r="AA38" s="287"/>
      <c r="AB38" s="287"/>
      <c r="AC38" s="287"/>
      <c r="AD38" s="287"/>
      <c r="AE38" s="287"/>
      <c r="AF38" s="287"/>
      <c r="AG38" s="287"/>
      <c r="AH38" s="287"/>
    </row>
    <row r="39" spans="1:34">
      <c r="B39" s="285" t="s">
        <v>209</v>
      </c>
    </row>
    <row r="40" spans="1:34" ht="13.5" customHeight="1">
      <c r="B40" s="760" t="s">
        <v>78</v>
      </c>
      <c r="C40" s="761"/>
      <c r="D40" s="761"/>
      <c r="E40" s="762"/>
      <c r="F40" s="677" t="s">
        <v>232</v>
      </c>
      <c r="G40" s="749"/>
      <c r="H40" s="737" t="s">
        <v>163</v>
      </c>
      <c r="I40" s="737"/>
      <c r="J40" s="737"/>
      <c r="K40" s="737"/>
      <c r="L40" s="737"/>
      <c r="M40" s="737"/>
      <c r="N40" s="737"/>
      <c r="O40" s="737" t="s">
        <v>211</v>
      </c>
      <c r="P40" s="737"/>
      <c r="Q40" s="737"/>
      <c r="R40" s="737"/>
      <c r="S40" s="715" t="s">
        <v>165</v>
      </c>
      <c r="T40" s="716"/>
      <c r="U40" s="716"/>
      <c r="V40" s="717"/>
      <c r="W40" s="686" t="s">
        <v>166</v>
      </c>
      <c r="X40" s="687"/>
      <c r="Y40" s="687"/>
      <c r="Z40" s="687"/>
      <c r="AA40" s="687"/>
      <c r="AB40" s="688"/>
      <c r="AC40" s="686" t="s">
        <v>167</v>
      </c>
      <c r="AD40" s="687"/>
      <c r="AE40" s="687"/>
      <c r="AF40" s="688"/>
    </row>
    <row r="41" spans="1:34">
      <c r="B41" s="760"/>
      <c r="C41" s="761"/>
      <c r="D41" s="761"/>
      <c r="E41" s="762"/>
      <c r="F41" s="750"/>
      <c r="G41" s="751"/>
      <c r="H41" s="737"/>
      <c r="I41" s="737"/>
      <c r="J41" s="737"/>
      <c r="K41" s="737"/>
      <c r="L41" s="737"/>
      <c r="M41" s="737"/>
      <c r="N41" s="737"/>
      <c r="O41" s="737"/>
      <c r="P41" s="737"/>
      <c r="Q41" s="737"/>
      <c r="R41" s="737"/>
      <c r="S41" s="718"/>
      <c r="T41" s="719"/>
      <c r="U41" s="719"/>
      <c r="V41" s="720"/>
      <c r="W41" s="689"/>
      <c r="X41" s="690"/>
      <c r="Y41" s="690"/>
      <c r="Z41" s="690"/>
      <c r="AA41" s="690"/>
      <c r="AB41" s="691"/>
      <c r="AC41" s="689"/>
      <c r="AD41" s="690"/>
      <c r="AE41" s="690"/>
      <c r="AF41" s="691"/>
    </row>
    <row r="42" spans="1:34" ht="12" customHeight="1">
      <c r="B42" s="760"/>
      <c r="C42" s="761"/>
      <c r="D42" s="761"/>
      <c r="E42" s="762"/>
      <c r="F42" s="750"/>
      <c r="G42" s="751"/>
      <c r="H42" s="730" t="s">
        <v>199</v>
      </c>
      <c r="I42" s="730"/>
      <c r="J42" s="730"/>
      <c r="K42" s="730"/>
      <c r="L42" s="731" t="s">
        <v>201</v>
      </c>
      <c r="M42" s="732"/>
      <c r="N42" s="733"/>
      <c r="O42" s="730" t="s">
        <v>210</v>
      </c>
      <c r="P42" s="730"/>
      <c r="Q42" s="730"/>
      <c r="R42" s="730"/>
      <c r="S42" s="718"/>
      <c r="T42" s="719"/>
      <c r="U42" s="719"/>
      <c r="V42" s="720"/>
      <c r="W42" s="689"/>
      <c r="X42" s="690"/>
      <c r="Y42" s="690"/>
      <c r="Z42" s="690"/>
      <c r="AA42" s="690"/>
      <c r="AB42" s="691"/>
      <c r="AC42" s="689"/>
      <c r="AD42" s="690"/>
      <c r="AE42" s="690"/>
      <c r="AF42" s="691"/>
    </row>
    <row r="43" spans="1:34" ht="12" customHeight="1">
      <c r="B43" s="760"/>
      <c r="C43" s="761"/>
      <c r="D43" s="761"/>
      <c r="E43" s="762"/>
      <c r="F43" s="750"/>
      <c r="G43" s="751"/>
      <c r="H43" s="730"/>
      <c r="I43" s="730"/>
      <c r="J43" s="730"/>
      <c r="K43" s="730"/>
      <c r="L43" s="734"/>
      <c r="M43" s="735"/>
      <c r="N43" s="736"/>
      <c r="O43" s="730"/>
      <c r="P43" s="730"/>
      <c r="Q43" s="730"/>
      <c r="R43" s="730"/>
      <c r="S43" s="718"/>
      <c r="T43" s="719"/>
      <c r="U43" s="719"/>
      <c r="V43" s="720"/>
      <c r="W43" s="689"/>
      <c r="X43" s="690"/>
      <c r="Y43" s="690"/>
      <c r="Z43" s="690"/>
      <c r="AA43" s="690"/>
      <c r="AB43" s="691"/>
      <c r="AC43" s="689"/>
      <c r="AD43" s="690"/>
      <c r="AE43" s="690"/>
      <c r="AF43" s="691"/>
    </row>
    <row r="44" spans="1:34" ht="24" customHeight="1">
      <c r="B44" s="760"/>
      <c r="C44" s="761"/>
      <c r="D44" s="761"/>
      <c r="E44" s="762"/>
      <c r="F44" s="752"/>
      <c r="G44" s="753"/>
      <c r="H44" s="299" t="s">
        <v>246</v>
      </c>
      <c r="I44" s="299" t="s">
        <v>215</v>
      </c>
      <c r="J44" s="300" t="s">
        <v>216</v>
      </c>
      <c r="K44" s="300" t="s">
        <v>170</v>
      </c>
      <c r="L44" s="299" t="s">
        <v>244</v>
      </c>
      <c r="M44" s="299" t="s">
        <v>215</v>
      </c>
      <c r="N44" s="300" t="s">
        <v>170</v>
      </c>
      <c r="O44" s="299" t="s">
        <v>215</v>
      </c>
      <c r="P44" s="299" t="s">
        <v>246</v>
      </c>
      <c r="Q44" s="299" t="s">
        <v>216</v>
      </c>
      <c r="R44" s="300" t="s">
        <v>170</v>
      </c>
      <c r="S44" s="721"/>
      <c r="T44" s="722"/>
      <c r="U44" s="722"/>
      <c r="V44" s="723"/>
      <c r="W44" s="692"/>
      <c r="X44" s="693"/>
      <c r="Y44" s="693"/>
      <c r="Z44" s="693"/>
      <c r="AA44" s="693"/>
      <c r="AB44" s="694"/>
      <c r="AC44" s="692"/>
      <c r="AD44" s="693"/>
      <c r="AE44" s="693"/>
      <c r="AF44" s="694"/>
    </row>
    <row r="45" spans="1:34" ht="24.95" customHeight="1">
      <c r="B45" s="724" t="s">
        <v>169</v>
      </c>
      <c r="C45" s="724"/>
      <c r="D45" s="724"/>
      <c r="E45" s="724"/>
      <c r="F45" s="725" t="s">
        <v>204</v>
      </c>
      <c r="G45" s="725" t="s">
        <v>249</v>
      </c>
      <c r="H45" s="301" t="s">
        <v>200</v>
      </c>
      <c r="I45" s="301" t="s">
        <v>220</v>
      </c>
      <c r="J45" s="302" t="s">
        <v>217</v>
      </c>
      <c r="K45" s="302" t="s">
        <v>171</v>
      </c>
      <c r="L45" s="301" t="s">
        <v>200</v>
      </c>
      <c r="M45" s="301" t="s">
        <v>220</v>
      </c>
      <c r="N45" s="302" t="s">
        <v>171</v>
      </c>
      <c r="O45" s="301" t="s">
        <v>220</v>
      </c>
      <c r="P45" s="301" t="s">
        <v>200</v>
      </c>
      <c r="Q45" s="302" t="s">
        <v>217</v>
      </c>
      <c r="R45" s="302" t="s">
        <v>245</v>
      </c>
      <c r="S45" s="727" t="s">
        <v>241</v>
      </c>
      <c r="T45" s="714"/>
      <c r="U45" s="714"/>
      <c r="V45" s="714"/>
      <c r="W45" s="728" t="s">
        <v>262</v>
      </c>
      <c r="X45" s="729"/>
      <c r="Y45" s="729"/>
      <c r="Z45" s="729"/>
      <c r="AA45" s="729"/>
      <c r="AB45" s="729"/>
      <c r="AC45" s="713">
        <v>45027</v>
      </c>
      <c r="AD45" s="714"/>
      <c r="AE45" s="714"/>
      <c r="AF45" s="714"/>
    </row>
    <row r="46" spans="1:34" ht="24.95" customHeight="1">
      <c r="B46" s="724"/>
      <c r="C46" s="724"/>
      <c r="D46" s="724"/>
      <c r="E46" s="724"/>
      <c r="F46" s="726"/>
      <c r="G46" s="726"/>
      <c r="H46" s="303"/>
      <c r="I46" s="303"/>
      <c r="J46" s="304"/>
      <c r="K46" s="304"/>
      <c r="L46" s="301" t="s">
        <v>200</v>
      </c>
      <c r="M46" s="301" t="s">
        <v>221</v>
      </c>
      <c r="N46" s="302" t="s">
        <v>171</v>
      </c>
      <c r="O46" s="301" t="s">
        <v>221</v>
      </c>
      <c r="P46" s="301" t="s">
        <v>200</v>
      </c>
      <c r="Q46" s="302" t="s">
        <v>217</v>
      </c>
      <c r="R46" s="302" t="s">
        <v>245</v>
      </c>
      <c r="S46" s="714"/>
      <c r="T46" s="714"/>
      <c r="U46" s="714"/>
      <c r="V46" s="714"/>
      <c r="W46" s="729"/>
      <c r="X46" s="729"/>
      <c r="Y46" s="729"/>
      <c r="Z46" s="729"/>
      <c r="AA46" s="729"/>
      <c r="AB46" s="729"/>
      <c r="AC46" s="714"/>
      <c r="AD46" s="714"/>
      <c r="AE46" s="714"/>
      <c r="AF46" s="714"/>
    </row>
    <row r="47" spans="1:34" ht="24.95" customHeight="1">
      <c r="B47" s="724" t="s">
        <v>233</v>
      </c>
      <c r="C47" s="724"/>
      <c r="D47" s="724"/>
      <c r="E47" s="724"/>
      <c r="F47" s="305" t="s">
        <v>224</v>
      </c>
      <c r="G47" s="306" t="s">
        <v>247</v>
      </c>
      <c r="H47" s="303"/>
      <c r="I47" s="303"/>
      <c r="J47" s="304"/>
      <c r="K47" s="304"/>
      <c r="L47" s="301" t="s">
        <v>206</v>
      </c>
      <c r="M47" s="301" t="s">
        <v>223</v>
      </c>
      <c r="N47" s="302" t="s">
        <v>171</v>
      </c>
      <c r="O47" s="303"/>
      <c r="P47" s="304"/>
      <c r="Q47" s="304"/>
      <c r="R47" s="304"/>
      <c r="S47" s="714"/>
      <c r="T47" s="714"/>
      <c r="U47" s="714"/>
      <c r="V47" s="714"/>
      <c r="W47" s="729"/>
      <c r="X47" s="729"/>
      <c r="Y47" s="729"/>
      <c r="Z47" s="729"/>
      <c r="AA47" s="729"/>
      <c r="AB47" s="729"/>
      <c r="AC47" s="714"/>
      <c r="AD47" s="714"/>
      <c r="AE47" s="714"/>
      <c r="AF47" s="714"/>
    </row>
    <row r="48" spans="1:34" ht="24.95" customHeight="1">
      <c r="B48" s="724" t="s">
        <v>234</v>
      </c>
      <c r="C48" s="724"/>
      <c r="D48" s="724"/>
      <c r="E48" s="724"/>
      <c r="F48" s="307" t="s">
        <v>202</v>
      </c>
      <c r="G48" s="308" t="s">
        <v>249</v>
      </c>
      <c r="H48" s="301" t="s">
        <v>203</v>
      </c>
      <c r="I48" s="301" t="s">
        <v>223</v>
      </c>
      <c r="J48" s="302" t="s">
        <v>218</v>
      </c>
      <c r="K48" s="302" t="s">
        <v>171</v>
      </c>
      <c r="L48" s="301" t="s">
        <v>203</v>
      </c>
      <c r="M48" s="301" t="s">
        <v>222</v>
      </c>
      <c r="N48" s="302" t="s">
        <v>171</v>
      </c>
      <c r="O48" s="301" t="s">
        <v>222</v>
      </c>
      <c r="P48" s="301" t="s">
        <v>203</v>
      </c>
      <c r="Q48" s="302" t="s">
        <v>218</v>
      </c>
      <c r="R48" s="302" t="s">
        <v>245</v>
      </c>
      <c r="S48" s="714"/>
      <c r="T48" s="714"/>
      <c r="U48" s="714"/>
      <c r="V48" s="714"/>
      <c r="W48" s="729"/>
      <c r="X48" s="729"/>
      <c r="Y48" s="729"/>
      <c r="Z48" s="729"/>
      <c r="AA48" s="729"/>
      <c r="AB48" s="729"/>
      <c r="AC48" s="714"/>
      <c r="AD48" s="714"/>
      <c r="AE48" s="714"/>
      <c r="AF48" s="714"/>
    </row>
    <row r="49" spans="1:57" ht="24.95" customHeight="1">
      <c r="B49" s="724" t="s">
        <v>235</v>
      </c>
      <c r="C49" s="724"/>
      <c r="D49" s="724"/>
      <c r="E49" s="724"/>
      <c r="F49" s="725" t="s">
        <v>212</v>
      </c>
      <c r="G49" s="725" t="s">
        <v>247</v>
      </c>
      <c r="H49" s="303"/>
      <c r="I49" s="303"/>
      <c r="J49" s="304"/>
      <c r="K49" s="304"/>
      <c r="L49" s="301" t="s">
        <v>207</v>
      </c>
      <c r="M49" s="301" t="s">
        <v>225</v>
      </c>
      <c r="N49" s="302" t="s">
        <v>171</v>
      </c>
      <c r="O49" s="303"/>
      <c r="P49" s="304"/>
      <c r="Q49" s="304"/>
      <c r="R49" s="304"/>
      <c r="S49" s="714"/>
      <c r="T49" s="714"/>
      <c r="U49" s="714"/>
      <c r="V49" s="714"/>
      <c r="W49" s="729"/>
      <c r="X49" s="729"/>
      <c r="Y49" s="729"/>
      <c r="Z49" s="729"/>
      <c r="AA49" s="729"/>
      <c r="AB49" s="729"/>
      <c r="AC49" s="714"/>
      <c r="AD49" s="714"/>
      <c r="AE49" s="714"/>
      <c r="AF49" s="714"/>
    </row>
    <row r="50" spans="1:57" ht="24.95" customHeight="1">
      <c r="B50" s="724"/>
      <c r="C50" s="724"/>
      <c r="D50" s="724"/>
      <c r="E50" s="724"/>
      <c r="F50" s="726"/>
      <c r="G50" s="726"/>
      <c r="H50" s="303"/>
      <c r="I50" s="303"/>
      <c r="J50" s="304"/>
      <c r="K50" s="304"/>
      <c r="L50" s="301" t="s">
        <v>207</v>
      </c>
      <c r="M50" s="301" t="s">
        <v>226</v>
      </c>
      <c r="N50" s="302" t="s">
        <v>171</v>
      </c>
      <c r="O50" s="303"/>
      <c r="P50" s="303"/>
      <c r="Q50" s="304"/>
      <c r="R50" s="304"/>
      <c r="S50" s="714"/>
      <c r="T50" s="714"/>
      <c r="U50" s="714"/>
      <c r="V50" s="714"/>
      <c r="W50" s="729"/>
      <c r="X50" s="729"/>
      <c r="Y50" s="729"/>
      <c r="Z50" s="729"/>
      <c r="AA50" s="729"/>
      <c r="AB50" s="729"/>
      <c r="AC50" s="714"/>
      <c r="AD50" s="714"/>
      <c r="AE50" s="714"/>
      <c r="AF50" s="714"/>
    </row>
    <row r="51" spans="1:57" ht="24.95" customHeight="1">
      <c r="B51" s="724" t="s">
        <v>236</v>
      </c>
      <c r="C51" s="724"/>
      <c r="D51" s="724"/>
      <c r="E51" s="724"/>
      <c r="F51" s="307" t="s">
        <v>214</v>
      </c>
      <c r="G51" s="307" t="s">
        <v>248</v>
      </c>
      <c r="H51" s="301" t="s">
        <v>213</v>
      </c>
      <c r="I51" s="301" t="s">
        <v>222</v>
      </c>
      <c r="J51" s="302" t="s">
        <v>219</v>
      </c>
      <c r="K51" s="302" t="s">
        <v>171</v>
      </c>
      <c r="L51" s="303"/>
      <c r="M51" s="303"/>
      <c r="N51" s="304"/>
      <c r="O51" s="303"/>
      <c r="P51" s="304"/>
      <c r="Q51" s="304"/>
      <c r="R51" s="304"/>
      <c r="S51" s="714"/>
      <c r="T51" s="714"/>
      <c r="U51" s="714"/>
      <c r="V51" s="714"/>
      <c r="W51" s="729"/>
      <c r="X51" s="729"/>
      <c r="Y51" s="729"/>
      <c r="Z51" s="729"/>
      <c r="AA51" s="729"/>
      <c r="AB51" s="729"/>
      <c r="AC51" s="714"/>
      <c r="AD51" s="714"/>
      <c r="AE51" s="714"/>
      <c r="AF51" s="714"/>
    </row>
    <row r="52" spans="1:57" ht="24.95" customHeight="1">
      <c r="B52" s="724" t="s">
        <v>237</v>
      </c>
      <c r="C52" s="724"/>
      <c r="D52" s="724"/>
      <c r="E52" s="724"/>
      <c r="F52" s="305" t="s">
        <v>224</v>
      </c>
      <c r="G52" s="305" t="s">
        <v>247</v>
      </c>
      <c r="H52" s="303"/>
      <c r="I52" s="303"/>
      <c r="J52" s="304"/>
      <c r="K52" s="304"/>
      <c r="L52" s="301" t="s">
        <v>208</v>
      </c>
      <c r="M52" s="301" t="s">
        <v>227</v>
      </c>
      <c r="N52" s="302" t="s">
        <v>171</v>
      </c>
      <c r="O52" s="303"/>
      <c r="P52" s="304"/>
      <c r="Q52" s="304"/>
      <c r="R52" s="304"/>
      <c r="S52" s="714"/>
      <c r="T52" s="714"/>
      <c r="U52" s="714"/>
      <c r="V52" s="714"/>
      <c r="W52" s="729"/>
      <c r="X52" s="729"/>
      <c r="Y52" s="729"/>
      <c r="Z52" s="729"/>
      <c r="AA52" s="729"/>
      <c r="AB52" s="729"/>
      <c r="AC52" s="714"/>
      <c r="AD52" s="714"/>
      <c r="AE52" s="714"/>
      <c r="AF52" s="714"/>
    </row>
    <row r="54" spans="1:57" s="253" customFormat="1" ht="13.5" customHeight="1">
      <c r="A54" s="249"/>
      <c r="B54" s="250" t="s">
        <v>250</v>
      </c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  <c r="W54" s="251"/>
      <c r="X54" s="251"/>
      <c r="Y54" s="251"/>
      <c r="Z54" s="251"/>
      <c r="AA54" s="251"/>
      <c r="AB54" s="251"/>
      <c r="AC54" s="251"/>
      <c r="AD54" s="251"/>
      <c r="AE54" s="251"/>
      <c r="AF54" s="251"/>
      <c r="AG54" s="251"/>
      <c r="AH54" s="251"/>
      <c r="AI54" s="251"/>
      <c r="AJ54" s="251"/>
      <c r="AK54" s="251"/>
      <c r="AL54" s="251"/>
      <c r="AM54" s="251"/>
      <c r="AN54" s="251"/>
      <c r="AO54" s="251"/>
      <c r="AP54" s="251"/>
      <c r="AQ54" s="251"/>
      <c r="AR54" s="249"/>
      <c r="AS54" s="251"/>
      <c r="AT54" s="251"/>
      <c r="AU54" s="251"/>
      <c r="AV54" s="251"/>
      <c r="AW54" s="251"/>
      <c r="AX54" s="251"/>
      <c r="AY54" s="251"/>
      <c r="AZ54" s="251"/>
      <c r="BA54" s="252"/>
      <c r="BB54" s="249"/>
      <c r="BC54" s="249"/>
      <c r="BD54" s="249"/>
      <c r="BE54" s="249"/>
    </row>
    <row r="55" spans="1:57" s="257" customFormat="1">
      <c r="A55" s="254"/>
      <c r="B55" s="250" t="s">
        <v>255</v>
      </c>
      <c r="C55" s="255"/>
      <c r="D55" s="254"/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255"/>
      <c r="Q55" s="255"/>
      <c r="R55" s="255"/>
      <c r="S55" s="255"/>
      <c r="T55" s="255"/>
      <c r="U55" s="255"/>
      <c r="V55" s="255"/>
      <c r="W55" s="255"/>
      <c r="X55" s="255"/>
      <c r="Y55" s="255"/>
      <c r="Z55" s="255"/>
      <c r="AA55" s="255"/>
      <c r="AB55" s="255"/>
      <c r="AC55" s="255"/>
      <c r="AD55" s="255"/>
      <c r="AE55" s="255"/>
      <c r="AF55" s="255"/>
      <c r="AG55" s="255"/>
      <c r="AH55" s="255"/>
      <c r="AI55" s="255"/>
      <c r="AJ55" s="255"/>
      <c r="AK55" s="255"/>
      <c r="AL55" s="255"/>
      <c r="AM55" s="255"/>
      <c r="AN55" s="255"/>
      <c r="AO55" s="255"/>
      <c r="AP55" s="255"/>
      <c r="AQ55" s="255"/>
      <c r="AR55" s="255"/>
      <c r="AS55" s="255"/>
      <c r="AT55" s="255"/>
      <c r="AU55" s="255"/>
      <c r="AV55" s="255"/>
      <c r="AW55" s="255"/>
      <c r="AX55" s="255"/>
      <c r="AY55" s="256"/>
      <c r="AZ55" s="256"/>
      <c r="BA55" s="256"/>
      <c r="BB55" s="256"/>
      <c r="BC55" s="256"/>
      <c r="BD55" s="256"/>
    </row>
    <row r="56" spans="1:57" s="260" customFormat="1" ht="13.5" customHeight="1">
      <c r="A56" s="258"/>
      <c r="B56" s="258"/>
      <c r="C56" s="258"/>
      <c r="D56" s="258"/>
      <c r="E56" s="258"/>
      <c r="F56" s="258"/>
      <c r="G56" s="258"/>
      <c r="H56" s="258"/>
      <c r="I56" s="258"/>
      <c r="J56" s="258"/>
      <c r="K56" s="258"/>
      <c r="L56" s="258"/>
      <c r="M56" s="258"/>
      <c r="N56" s="258"/>
      <c r="O56" s="258"/>
      <c r="P56" s="258"/>
      <c r="Q56" s="258"/>
      <c r="R56" s="258"/>
      <c r="S56" s="258"/>
      <c r="T56" s="258"/>
      <c r="U56" s="258"/>
      <c r="V56" s="258"/>
      <c r="W56" s="258"/>
      <c r="X56" s="258"/>
      <c r="Y56" s="258"/>
      <c r="Z56" s="258"/>
      <c r="AA56" s="258"/>
      <c r="AB56" s="258"/>
      <c r="AC56" s="258"/>
      <c r="AD56" s="258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59"/>
      <c r="BA56" s="259"/>
      <c r="BB56" s="259"/>
      <c r="BC56" s="259"/>
      <c r="BD56" s="259"/>
    </row>
    <row r="57" spans="1:57" s="260" customFormat="1" ht="13.5" customHeight="1">
      <c r="A57" s="258"/>
      <c r="B57" s="677" t="s">
        <v>162</v>
      </c>
      <c r="C57" s="678"/>
      <c r="D57" s="678"/>
      <c r="E57" s="679"/>
      <c r="F57" s="704" t="s">
        <v>251</v>
      </c>
      <c r="G57" s="705"/>
      <c r="H57" s="706"/>
      <c r="I57" s="695" t="s">
        <v>252</v>
      </c>
      <c r="J57" s="696"/>
      <c r="K57" s="697"/>
      <c r="L57" s="686" t="s">
        <v>166</v>
      </c>
      <c r="M57" s="687"/>
      <c r="N57" s="688"/>
      <c r="O57" s="686" t="s">
        <v>167</v>
      </c>
      <c r="P57" s="687"/>
      <c r="Q57" s="687"/>
      <c r="R57" s="688"/>
      <c r="S57" s="259"/>
    </row>
    <row r="58" spans="1:57" s="260" customFormat="1" ht="13.5" customHeight="1">
      <c r="A58" s="261"/>
      <c r="B58" s="680"/>
      <c r="C58" s="681"/>
      <c r="D58" s="681"/>
      <c r="E58" s="682"/>
      <c r="F58" s="707"/>
      <c r="G58" s="708"/>
      <c r="H58" s="709"/>
      <c r="I58" s="698"/>
      <c r="J58" s="699"/>
      <c r="K58" s="700"/>
      <c r="L58" s="689"/>
      <c r="M58" s="690"/>
      <c r="N58" s="691"/>
      <c r="O58" s="689"/>
      <c r="P58" s="690"/>
      <c r="Q58" s="690"/>
      <c r="R58" s="691"/>
      <c r="S58" s="259"/>
    </row>
    <row r="59" spans="1:57" s="260" customFormat="1" ht="13.5" customHeight="1">
      <c r="A59" s="261"/>
      <c r="B59" s="680"/>
      <c r="C59" s="681"/>
      <c r="D59" s="681"/>
      <c r="E59" s="682"/>
      <c r="F59" s="707"/>
      <c r="G59" s="708"/>
      <c r="H59" s="709"/>
      <c r="I59" s="698"/>
      <c r="J59" s="699"/>
      <c r="K59" s="700"/>
      <c r="L59" s="689"/>
      <c r="M59" s="690"/>
      <c r="N59" s="691"/>
      <c r="O59" s="689"/>
      <c r="P59" s="690"/>
      <c r="Q59" s="690"/>
      <c r="R59" s="691"/>
      <c r="S59" s="259"/>
    </row>
    <row r="60" spans="1:57" s="260" customFormat="1" ht="13.5" customHeight="1">
      <c r="A60" s="261"/>
      <c r="B60" s="683"/>
      <c r="C60" s="684"/>
      <c r="D60" s="684"/>
      <c r="E60" s="685"/>
      <c r="F60" s="710"/>
      <c r="G60" s="711"/>
      <c r="H60" s="712"/>
      <c r="I60" s="701"/>
      <c r="J60" s="702"/>
      <c r="K60" s="703"/>
      <c r="L60" s="692"/>
      <c r="M60" s="693"/>
      <c r="N60" s="694"/>
      <c r="O60" s="692"/>
      <c r="P60" s="693"/>
      <c r="Q60" s="693"/>
      <c r="R60" s="694"/>
      <c r="S60" s="259"/>
    </row>
    <row r="61" spans="1:57" s="260" customFormat="1" ht="37.9" customHeight="1">
      <c r="A61" s="261"/>
      <c r="B61" s="662" t="s">
        <v>253</v>
      </c>
      <c r="C61" s="663"/>
      <c r="D61" s="663"/>
      <c r="E61" s="664"/>
      <c r="F61" s="671" t="s">
        <v>254</v>
      </c>
      <c r="G61" s="672"/>
      <c r="H61" s="673"/>
      <c r="I61" s="674" t="s">
        <v>257</v>
      </c>
      <c r="J61" s="675"/>
      <c r="K61" s="676"/>
      <c r="L61" s="668" t="s">
        <v>273</v>
      </c>
      <c r="M61" s="669"/>
      <c r="N61" s="670"/>
      <c r="O61" s="665">
        <v>45027</v>
      </c>
      <c r="P61" s="666"/>
      <c r="Q61" s="666"/>
      <c r="R61" s="667"/>
      <c r="S61" s="259"/>
    </row>
  </sheetData>
  <mergeCells count="96">
    <mergeCell ref="V14:Y14"/>
    <mergeCell ref="P20:U23"/>
    <mergeCell ref="V20:Y23"/>
    <mergeCell ref="L20:O23"/>
    <mergeCell ref="B29:E32"/>
    <mergeCell ref="F22:G23"/>
    <mergeCell ref="F24:G24"/>
    <mergeCell ref="L24:O24"/>
    <mergeCell ref="P24:U24"/>
    <mergeCell ref="L29:O32"/>
    <mergeCell ref="J31:K32"/>
    <mergeCell ref="F29:I30"/>
    <mergeCell ref="F31:G32"/>
    <mergeCell ref="B14:E14"/>
    <mergeCell ref="H14:I14"/>
    <mergeCell ref="P14:U14"/>
    <mergeCell ref="V10:Y13"/>
    <mergeCell ref="H12:I13"/>
    <mergeCell ref="J12:K13"/>
    <mergeCell ref="F3:N3"/>
    <mergeCell ref="F4:N4"/>
    <mergeCell ref="P10:U13"/>
    <mergeCell ref="P3:Q3"/>
    <mergeCell ref="P4:Q4"/>
    <mergeCell ref="R3:U4"/>
    <mergeCell ref="B10:E13"/>
    <mergeCell ref="L10:O13"/>
    <mergeCell ref="F14:G14"/>
    <mergeCell ref="C1:H2"/>
    <mergeCell ref="K1:L1"/>
    <mergeCell ref="K2:L2"/>
    <mergeCell ref="M1:N1"/>
    <mergeCell ref="J14:K14"/>
    <mergeCell ref="L14:O14"/>
    <mergeCell ref="F10:I11"/>
    <mergeCell ref="J10:K11"/>
    <mergeCell ref="F12:G13"/>
    <mergeCell ref="F20:I21"/>
    <mergeCell ref="R1:S1"/>
    <mergeCell ref="R2:S2"/>
    <mergeCell ref="T1:U1"/>
    <mergeCell ref="T2:U2"/>
    <mergeCell ref="I1:J1"/>
    <mergeCell ref="I2:J2"/>
    <mergeCell ref="J24:K24"/>
    <mergeCell ref="B33:E33"/>
    <mergeCell ref="F33:G33"/>
    <mergeCell ref="H33:I33"/>
    <mergeCell ref="J29:K30"/>
    <mergeCell ref="B47:E47"/>
    <mergeCell ref="B40:E44"/>
    <mergeCell ref="G45:G46"/>
    <mergeCell ref="B24:E24"/>
    <mergeCell ref="H24:I24"/>
    <mergeCell ref="V29:Y32"/>
    <mergeCell ref="H22:I23"/>
    <mergeCell ref="J22:K23"/>
    <mergeCell ref="V24:Y24"/>
    <mergeCell ref="B52:E52"/>
    <mergeCell ref="F40:G44"/>
    <mergeCell ref="B49:E50"/>
    <mergeCell ref="V33:Y33"/>
    <mergeCell ref="J33:K33"/>
    <mergeCell ref="L33:O33"/>
    <mergeCell ref="P33:U33"/>
    <mergeCell ref="H31:I32"/>
    <mergeCell ref="P29:U32"/>
    <mergeCell ref="B20:E23"/>
    <mergeCell ref="J20:K21"/>
    <mergeCell ref="B51:E51"/>
    <mergeCell ref="AC45:AF52"/>
    <mergeCell ref="S40:V44"/>
    <mergeCell ref="W40:AB44"/>
    <mergeCell ref="AC40:AF44"/>
    <mergeCell ref="B48:E48"/>
    <mergeCell ref="G49:G50"/>
    <mergeCell ref="S45:V52"/>
    <mergeCell ref="W45:AB52"/>
    <mergeCell ref="F45:F46"/>
    <mergeCell ref="F49:F50"/>
    <mergeCell ref="B45:E46"/>
    <mergeCell ref="H42:K43"/>
    <mergeCell ref="L42:N43"/>
    <mergeCell ref="H40:N41"/>
    <mergeCell ref="O42:R43"/>
    <mergeCell ref="O40:R41"/>
    <mergeCell ref="B57:E60"/>
    <mergeCell ref="O57:R60"/>
    <mergeCell ref="L57:N60"/>
    <mergeCell ref="I57:K60"/>
    <mergeCell ref="F57:H60"/>
    <mergeCell ref="B61:E61"/>
    <mergeCell ref="O61:R61"/>
    <mergeCell ref="L61:N61"/>
    <mergeCell ref="F61:H61"/>
    <mergeCell ref="I61:K61"/>
  </mergeCells>
  <phoneticPr fontId="2"/>
  <pageMargins left="0.59055118110236227" right="0.59055118110236227" top="0.78740157480314965" bottom="0.59055118110236227" header="0.51181102362204722" footer="0.31496062992125984"/>
  <pageSetup paperSize="9" scale="26" fitToHeight="3" orientation="landscape" verticalDpi="360" r:id="rId1"/>
  <headerFooter alignWithMargins="0">
    <oddFooter>&amp;C&amp;"ＭＳ ゴシック,標準"&amp;10&amp;P-2
&amp;R&amp;"ＭＳ ゴシック,標準"&amp;6&amp;F/&amp;A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/>
  <dimension ref="A1:S20"/>
  <sheetViews>
    <sheetView showGridLines="0" view="pageBreakPreview" topLeftCell="B1" zoomScale="115" zoomScaleNormal="100" zoomScaleSheetLayoutView="115" workbookViewId="0">
      <selection activeCell="C7" sqref="C7:E7"/>
    </sheetView>
  </sheetViews>
  <sheetFormatPr defaultRowHeight="13.5"/>
  <cols>
    <col min="1" max="1" width="9" style="56" hidden="1" customWidth="1"/>
    <col min="2" max="2" width="8.125" style="56" customWidth="1"/>
    <col min="3" max="3" width="14.875" style="56" customWidth="1"/>
    <col min="4" max="4" width="7" style="56" customWidth="1"/>
    <col min="5" max="5" width="7.25" style="56" customWidth="1"/>
    <col min="6" max="6" width="12" style="56" customWidth="1"/>
    <col min="7" max="7" width="5.75" style="56" customWidth="1"/>
    <col min="8" max="8" width="5" style="56" customWidth="1"/>
    <col min="9" max="9" width="6.75" style="56" customWidth="1"/>
    <col min="10" max="10" width="5.625" style="56" customWidth="1"/>
    <col min="11" max="11" width="5.75" style="56" customWidth="1"/>
    <col min="12" max="15" width="8.625" style="56" customWidth="1"/>
    <col min="16" max="19" width="6.625" style="56" customWidth="1"/>
    <col min="20" max="16384" width="9" style="56"/>
  </cols>
  <sheetData>
    <row r="1" spans="1:19" ht="37.5" customHeight="1"/>
    <row r="2" spans="1:19" ht="13.5" customHeight="1">
      <c r="B2" s="57" t="s">
        <v>94</v>
      </c>
      <c r="C2" s="58"/>
      <c r="D2" s="59" t="s">
        <v>95</v>
      </c>
      <c r="E2" s="60"/>
      <c r="F2" s="60"/>
      <c r="G2" s="60"/>
      <c r="H2" s="60"/>
      <c r="I2" s="61"/>
      <c r="J2" s="62"/>
    </row>
    <row r="3" spans="1:19" ht="30" customHeight="1">
      <c r="B3" s="63" t="str">
        <f>目次!A4</f>
        <v>MAET86S1</v>
      </c>
      <c r="C3" s="64"/>
      <c r="D3" s="117" t="str">
        <f>目次!F4</f>
        <v>ＡＣＰ同一人識別番号付加処理</v>
      </c>
      <c r="E3" s="118"/>
      <c r="F3" s="118"/>
      <c r="G3" s="118"/>
      <c r="H3" s="118"/>
      <c r="I3" s="119"/>
      <c r="J3" s="62"/>
      <c r="K3" s="65"/>
      <c r="L3" s="65"/>
      <c r="M3" s="65"/>
    </row>
    <row r="4" spans="1:19" s="62" customFormat="1" ht="13.5" customHeight="1">
      <c r="B4" s="66"/>
      <c r="C4" s="66"/>
      <c r="D4" s="66"/>
      <c r="E4" s="66"/>
      <c r="F4" s="66"/>
      <c r="G4" s="66"/>
      <c r="H4" s="66"/>
      <c r="I4" s="66"/>
      <c r="J4" s="66"/>
      <c r="K4" s="66"/>
    </row>
    <row r="5" spans="1:19" s="62" customFormat="1" ht="13.5" customHeight="1">
      <c r="A5" s="67"/>
      <c r="B5" s="68"/>
      <c r="C5" s="69" t="s">
        <v>42</v>
      </c>
      <c r="D5" s="70"/>
      <c r="E5" s="71"/>
      <c r="F5" s="68" t="s">
        <v>43</v>
      </c>
      <c r="G5" s="72" t="s">
        <v>44</v>
      </c>
      <c r="H5" s="71"/>
      <c r="I5" s="72" t="s">
        <v>22</v>
      </c>
      <c r="J5" s="73"/>
      <c r="K5" s="74"/>
      <c r="L5" s="75"/>
      <c r="M5" s="75"/>
      <c r="N5" s="75"/>
      <c r="O5" s="75"/>
      <c r="P5" s="75"/>
      <c r="Q5" s="75"/>
      <c r="R5" s="75"/>
      <c r="S5" s="76"/>
    </row>
    <row r="6" spans="1:19" s="62" customFormat="1" ht="30" customHeight="1">
      <c r="B6" s="77" t="s">
        <v>45</v>
      </c>
      <c r="C6" s="790" t="s">
        <v>96</v>
      </c>
      <c r="D6" s="791"/>
      <c r="E6" s="792"/>
      <c r="F6" s="116" t="s">
        <v>183</v>
      </c>
      <c r="G6" s="786">
        <v>45027</v>
      </c>
      <c r="H6" s="787"/>
      <c r="I6" s="78"/>
      <c r="J6" s="79"/>
      <c r="K6" s="79"/>
      <c r="L6" s="79"/>
      <c r="M6" s="79"/>
      <c r="N6" s="79"/>
      <c r="O6" s="79"/>
      <c r="P6" s="79"/>
      <c r="Q6" s="79"/>
      <c r="R6" s="79"/>
      <c r="S6" s="80"/>
    </row>
    <row r="7" spans="1:19" s="62" customFormat="1" ht="30" customHeight="1">
      <c r="B7" s="77" t="s">
        <v>46</v>
      </c>
      <c r="C7" s="790" t="s">
        <v>143</v>
      </c>
      <c r="D7" s="791"/>
      <c r="E7" s="792"/>
      <c r="F7" s="116" t="s">
        <v>184</v>
      </c>
      <c r="G7" s="788"/>
      <c r="H7" s="789"/>
      <c r="I7" s="81"/>
      <c r="J7" s="82"/>
      <c r="K7" s="82"/>
      <c r="L7" s="82"/>
      <c r="M7" s="82"/>
      <c r="N7" s="82"/>
      <c r="O7" s="82"/>
      <c r="P7" s="82"/>
      <c r="Q7" s="82"/>
      <c r="R7" s="82"/>
      <c r="S7" s="83"/>
    </row>
    <row r="8" spans="1:19" ht="13.5" customHeight="1">
      <c r="B8" s="82"/>
      <c r="C8" s="82"/>
      <c r="D8" s="84"/>
      <c r="E8" s="82"/>
      <c r="F8" s="82"/>
      <c r="G8" s="82"/>
      <c r="H8" s="84"/>
      <c r="I8" s="84"/>
      <c r="J8" s="84"/>
      <c r="K8" s="84"/>
      <c r="L8" s="84"/>
      <c r="M8" s="82"/>
      <c r="N8" s="62"/>
      <c r="O8" s="62"/>
    </row>
    <row r="9" spans="1:19">
      <c r="A9" s="85" t="s">
        <v>47</v>
      </c>
      <c r="B9" s="86" t="s">
        <v>31</v>
      </c>
      <c r="C9" s="87" t="s">
        <v>48</v>
      </c>
      <c r="D9" s="88"/>
      <c r="E9" s="88"/>
      <c r="F9" s="88"/>
      <c r="G9" s="88"/>
      <c r="H9" s="88"/>
      <c r="I9" s="88"/>
      <c r="J9" s="88"/>
      <c r="K9" s="89"/>
      <c r="L9" s="783" t="s">
        <v>49</v>
      </c>
      <c r="M9" s="784"/>
      <c r="N9" s="785"/>
      <c r="O9" s="90" t="s">
        <v>22</v>
      </c>
      <c r="P9" s="91"/>
      <c r="Q9" s="91"/>
      <c r="R9" s="91"/>
      <c r="S9" s="89"/>
    </row>
    <row r="10" spans="1:19" ht="20.100000000000001" customHeight="1">
      <c r="A10" s="92" t="s">
        <v>50</v>
      </c>
      <c r="B10" s="93" t="s">
        <v>51</v>
      </c>
      <c r="C10" s="94" t="s">
        <v>52</v>
      </c>
      <c r="D10" s="95"/>
      <c r="E10" s="95"/>
      <c r="F10" s="95"/>
      <c r="G10" s="95"/>
      <c r="H10" s="95"/>
      <c r="I10" s="95"/>
      <c r="J10" s="95"/>
      <c r="K10" s="96"/>
      <c r="L10" s="97" t="s">
        <v>97</v>
      </c>
      <c r="M10" s="97" t="s">
        <v>141</v>
      </c>
      <c r="N10" s="97" t="s">
        <v>147</v>
      </c>
      <c r="O10" s="98"/>
      <c r="P10" s="99"/>
      <c r="Q10" s="99"/>
      <c r="R10" s="99"/>
      <c r="S10" s="100"/>
    </row>
    <row r="11" spans="1:19" ht="20.100000000000001" customHeight="1">
      <c r="A11" s="92" t="s">
        <v>50</v>
      </c>
      <c r="B11" s="93" t="s">
        <v>51</v>
      </c>
      <c r="C11" s="94" t="s">
        <v>55</v>
      </c>
      <c r="D11" s="95"/>
      <c r="E11" s="95"/>
      <c r="F11" s="95"/>
      <c r="G11" s="95"/>
      <c r="H11" s="95"/>
      <c r="I11" s="95"/>
      <c r="J11" s="95"/>
      <c r="K11" s="96"/>
      <c r="L11" s="97" t="s">
        <v>146</v>
      </c>
      <c r="M11" s="97" t="s">
        <v>141</v>
      </c>
      <c r="N11" s="97" t="s">
        <v>140</v>
      </c>
      <c r="O11" s="98"/>
      <c r="P11" s="99"/>
      <c r="Q11" s="99"/>
      <c r="R11" s="99"/>
      <c r="S11" s="100"/>
    </row>
    <row r="12" spans="1:19" ht="20.100000000000001" customHeight="1">
      <c r="A12" s="92" t="s">
        <v>50</v>
      </c>
      <c r="B12" s="93" t="s">
        <v>51</v>
      </c>
      <c r="C12" s="94" t="s">
        <v>56</v>
      </c>
      <c r="D12" s="95"/>
      <c r="E12" s="95"/>
      <c r="F12" s="95"/>
      <c r="G12" s="95"/>
      <c r="H12" s="95"/>
      <c r="I12" s="95"/>
      <c r="J12" s="95"/>
      <c r="K12" s="96"/>
      <c r="L12" s="97" t="s">
        <v>97</v>
      </c>
      <c r="M12" s="97" t="s">
        <v>53</v>
      </c>
      <c r="N12" s="97" t="s">
        <v>54</v>
      </c>
      <c r="O12" s="98"/>
      <c r="P12" s="99"/>
      <c r="Q12" s="99"/>
      <c r="R12" s="99"/>
      <c r="S12" s="100"/>
    </row>
    <row r="13" spans="1:19" ht="20.100000000000001" customHeight="1">
      <c r="A13" s="92" t="s">
        <v>50</v>
      </c>
      <c r="B13" s="93" t="s">
        <v>51</v>
      </c>
      <c r="C13" s="94" t="s">
        <v>57</v>
      </c>
      <c r="D13" s="95"/>
      <c r="E13" s="95"/>
      <c r="F13" s="95"/>
      <c r="G13" s="95"/>
      <c r="H13" s="95"/>
      <c r="I13" s="95"/>
      <c r="J13" s="95"/>
      <c r="K13" s="96"/>
      <c r="L13" s="97" t="s">
        <v>97</v>
      </c>
      <c r="M13" s="97" t="s">
        <v>53</v>
      </c>
      <c r="N13" s="97" t="s">
        <v>54</v>
      </c>
      <c r="O13" s="98"/>
      <c r="P13" s="99"/>
      <c r="Q13" s="99"/>
      <c r="R13" s="99"/>
      <c r="S13" s="100"/>
    </row>
    <row r="14" spans="1:19" ht="20.100000000000001" customHeight="1">
      <c r="A14" s="92" t="s">
        <v>50</v>
      </c>
      <c r="B14" s="101" t="s">
        <v>51</v>
      </c>
      <c r="C14" s="102" t="s">
        <v>58</v>
      </c>
      <c r="D14" s="103"/>
      <c r="E14" s="103"/>
      <c r="F14" s="103"/>
      <c r="G14" s="103"/>
      <c r="H14" s="103"/>
      <c r="I14" s="103"/>
      <c r="J14" s="103"/>
      <c r="K14" s="104"/>
      <c r="L14" s="105" t="s">
        <v>136</v>
      </c>
      <c r="M14" s="105" t="s">
        <v>53</v>
      </c>
      <c r="N14" s="105" t="s">
        <v>98</v>
      </c>
      <c r="O14" s="106"/>
      <c r="P14" s="107"/>
      <c r="Q14" s="107"/>
      <c r="R14" s="107"/>
      <c r="S14" s="108"/>
    </row>
    <row r="20" spans="7:7">
      <c r="G20" s="109"/>
    </row>
  </sheetData>
  <customSheetViews>
    <customSheetView guid="{A6ABB528-5CA4-4D4C-8A92-065340906B37}" scale="85" showPageBreaks="1" hiddenColumns="1" view="pageBreakPreview" showRuler="0" topLeftCell="B1">
      <selection activeCell="B1" sqref="B1"/>
      <pageMargins left="0.78740157480314965" right="0.78740157480314965" top="0.98425196850393704" bottom="0.98425196850393704" header="0.51181102362204722" footer="0.51181102362204722"/>
      <pageSetup paperSize="9" scale="90" orientation="landscape" horizontalDpi="4294967292" r:id="rId1"/>
      <headerFooter alignWithMargins="0"/>
    </customSheetView>
    <customSheetView guid="{8E288406-DA20-4489-A100-6BF008027C94}" scale="85" showPageBreaks="1" hiddenColumns="1" view="pageBreakPreview" showRuler="0" topLeftCell="B1">
      <selection activeCell="B1" sqref="B1"/>
      <pageMargins left="0.78740157480314965" right="0.78740157480314965" top="0.98425196850393704" bottom="0.98425196850393704" header="0.51181102362204722" footer="0.51181102362204722"/>
      <pageSetup paperSize="9" scale="90" orientation="landscape" horizontalDpi="4294967292" r:id="rId2"/>
      <headerFooter alignWithMargins="0"/>
    </customSheetView>
  </customSheetViews>
  <mergeCells count="4">
    <mergeCell ref="L9:N9"/>
    <mergeCell ref="G6:H7"/>
    <mergeCell ref="C6:E6"/>
    <mergeCell ref="C7:E7"/>
  </mergeCells>
  <phoneticPr fontId="10"/>
  <pageMargins left="0.78740157480314965" right="0.78740157480314965" top="0.98425196850393704" bottom="0.98425196850393704" header="0.51181102362204722" footer="0.51181102362204722"/>
  <pageSetup paperSize="9" scale="90" orientation="landscape" horizontalDpi="4294967292" r:id="rId3"/>
  <headerFooter alignWithMargins="0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7"/>
  <dimension ref="A1:AZ26"/>
  <sheetViews>
    <sheetView showGridLines="0" view="pageBreakPreview" zoomScaleNormal="80" zoomScaleSheetLayoutView="100" workbookViewId="0"/>
  </sheetViews>
  <sheetFormatPr defaultColWidth="2.625" defaultRowHeight="12"/>
  <cols>
    <col min="1" max="16384" width="2.625" style="1"/>
  </cols>
  <sheetData>
    <row r="1" spans="1:52" ht="14.25" customHeight="1">
      <c r="A1" s="5" t="s">
        <v>3</v>
      </c>
      <c r="B1" s="2"/>
      <c r="C1" s="863" t="s">
        <v>139</v>
      </c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4"/>
      <c r="Q1" s="867" t="s">
        <v>4</v>
      </c>
      <c r="R1" s="868"/>
      <c r="S1" s="861" t="s">
        <v>5</v>
      </c>
      <c r="T1" s="859"/>
      <c r="U1" s="859"/>
      <c r="V1" s="859"/>
      <c r="W1" s="859"/>
      <c r="X1" s="862"/>
      <c r="Y1" s="852">
        <f>目次!Y1</f>
        <v>45044</v>
      </c>
      <c r="Z1" s="853"/>
      <c r="AA1" s="853"/>
      <c r="AB1" s="853"/>
      <c r="AC1" s="853"/>
      <c r="AD1" s="853"/>
      <c r="AE1" s="854"/>
      <c r="AF1" s="855" t="s">
        <v>6</v>
      </c>
      <c r="AG1" s="856"/>
      <c r="AH1" s="856"/>
      <c r="AI1" s="856"/>
      <c r="AJ1" s="856"/>
      <c r="AK1" s="857"/>
      <c r="AL1" s="858" t="str">
        <f>目次!AL1</f>
        <v>徐</v>
      </c>
      <c r="AM1" s="859"/>
      <c r="AN1" s="859"/>
      <c r="AO1" s="859"/>
      <c r="AP1" s="859"/>
      <c r="AQ1" s="859" t="str">
        <f>目次!AQ1</f>
        <v>JNW</v>
      </c>
      <c r="AR1" s="860"/>
      <c r="AS1" s="861" t="s">
        <v>7</v>
      </c>
      <c r="AT1" s="859"/>
      <c r="AU1" s="859"/>
      <c r="AV1" s="862"/>
      <c r="AW1" s="852">
        <f>目次!AW1</f>
        <v>45027</v>
      </c>
      <c r="AX1" s="853"/>
      <c r="AY1" s="853"/>
      <c r="AZ1" s="854"/>
    </row>
    <row r="2" spans="1:52" ht="14.25" customHeight="1">
      <c r="A2" s="3"/>
      <c r="B2" s="4"/>
      <c r="C2" s="865"/>
      <c r="D2" s="865"/>
      <c r="E2" s="865"/>
      <c r="F2" s="865"/>
      <c r="G2" s="865"/>
      <c r="H2" s="865"/>
      <c r="I2" s="865"/>
      <c r="J2" s="865"/>
      <c r="K2" s="865"/>
      <c r="L2" s="865"/>
      <c r="M2" s="865"/>
      <c r="N2" s="865"/>
      <c r="O2" s="865"/>
      <c r="P2" s="866"/>
      <c r="Q2" s="869">
        <f>目次!Q2</f>
        <v>1</v>
      </c>
      <c r="R2" s="870"/>
      <c r="S2" s="855" t="s">
        <v>8</v>
      </c>
      <c r="T2" s="856"/>
      <c r="U2" s="856"/>
      <c r="V2" s="856"/>
      <c r="W2" s="856"/>
      <c r="X2" s="857"/>
      <c r="Y2" s="858" t="str">
        <f>目次!Y2</f>
        <v>福島　副部長</v>
      </c>
      <c r="Z2" s="859"/>
      <c r="AA2" s="859"/>
      <c r="AB2" s="859"/>
      <c r="AC2" s="859"/>
      <c r="AD2" s="859" t="str">
        <f>目次!AD2</f>
        <v>DIR</v>
      </c>
      <c r="AE2" s="860"/>
      <c r="AF2" s="855" t="s">
        <v>9</v>
      </c>
      <c r="AG2" s="856"/>
      <c r="AH2" s="856"/>
      <c r="AI2" s="856"/>
      <c r="AJ2" s="856"/>
      <c r="AK2" s="857"/>
      <c r="AL2" s="858" t="str">
        <f>目次!AL2</f>
        <v>徐</v>
      </c>
      <c r="AM2" s="859"/>
      <c r="AN2" s="859"/>
      <c r="AO2" s="859"/>
      <c r="AP2" s="859"/>
      <c r="AQ2" s="859" t="str">
        <f>目次!AQ2</f>
        <v>JNW</v>
      </c>
      <c r="AR2" s="860"/>
      <c r="AS2" s="861" t="s">
        <v>10</v>
      </c>
      <c r="AT2" s="859"/>
      <c r="AU2" s="859"/>
      <c r="AV2" s="862"/>
      <c r="AW2" s="852">
        <f>目次!AW2</f>
        <v>45027</v>
      </c>
      <c r="AX2" s="853"/>
      <c r="AY2" s="853"/>
      <c r="AZ2" s="854"/>
    </row>
    <row r="3" spans="1:52" ht="14.25">
      <c r="A3" s="39" t="s">
        <v>90</v>
      </c>
      <c r="B3" s="40"/>
      <c r="C3" s="41"/>
      <c r="D3" s="41"/>
      <c r="E3" s="41"/>
      <c r="F3" s="42" t="s">
        <v>91</v>
      </c>
      <c r="G3" s="43"/>
      <c r="H3" s="12"/>
      <c r="I3" s="12"/>
      <c r="J3" s="12"/>
      <c r="K3" s="12"/>
      <c r="L3" s="12"/>
      <c r="M3" s="12"/>
      <c r="N3" s="12"/>
      <c r="O3" s="14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8"/>
      <c r="AF3" s="16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32"/>
      <c r="AT3" s="32"/>
      <c r="AU3" s="32"/>
      <c r="AV3" s="32"/>
      <c r="AW3" s="32"/>
      <c r="AX3" s="32"/>
      <c r="AY3" s="32"/>
      <c r="AZ3" s="33"/>
    </row>
    <row r="4" spans="1:52" ht="14.25">
      <c r="A4" s="37" t="str">
        <f>目次!A4</f>
        <v>MAET86S1</v>
      </c>
      <c r="B4" s="27"/>
      <c r="C4" s="30"/>
      <c r="D4" s="30"/>
      <c r="E4" s="30"/>
      <c r="F4" s="38" t="str">
        <f>目次!F4</f>
        <v>ＡＣＰ同一人識別番号付加処理</v>
      </c>
      <c r="G4" s="31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9"/>
      <c r="AF4" s="15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34"/>
      <c r="AT4" s="34"/>
      <c r="AU4" s="34"/>
      <c r="AV4" s="34"/>
      <c r="AW4" s="34"/>
      <c r="AX4" s="34"/>
      <c r="AY4" s="34"/>
      <c r="AZ4" s="35"/>
    </row>
    <row r="5" spans="1:52" ht="1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</row>
    <row r="6" spans="1:52" ht="12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</row>
    <row r="7" spans="1:52" s="36" customFormat="1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4"/>
      <c r="AG7" s="45"/>
      <c r="AH7" s="45"/>
      <c r="AI7" s="45"/>
      <c r="AJ7" s="45"/>
      <c r="AK7" s="45"/>
      <c r="AL7" s="45"/>
      <c r="AM7" s="45"/>
      <c r="AN7" s="44"/>
      <c r="AO7" s="45"/>
      <c r="AP7" s="45"/>
      <c r="AQ7" s="45"/>
      <c r="AR7" s="45"/>
      <c r="AS7" s="45"/>
      <c r="AT7" s="45"/>
      <c r="AU7" s="45"/>
      <c r="AV7" s="45"/>
      <c r="AW7" s="44"/>
    </row>
    <row r="8" spans="1:52" s="36" customFormat="1">
      <c r="A8" s="44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4"/>
      <c r="AG8" s="45"/>
      <c r="AH8" s="45"/>
      <c r="AI8" s="45"/>
      <c r="AJ8" s="45"/>
      <c r="AK8" s="45"/>
      <c r="AL8" s="45"/>
      <c r="AM8" s="45"/>
      <c r="AN8" s="44"/>
      <c r="AO8" s="45"/>
      <c r="AP8" s="45"/>
      <c r="AQ8" s="45"/>
      <c r="AR8" s="45"/>
      <c r="AS8" s="45"/>
      <c r="AT8" s="45"/>
      <c r="AU8" s="45"/>
      <c r="AV8" s="45"/>
      <c r="AW8" s="46"/>
    </row>
    <row r="9" spans="1:52" s="36" customFormat="1">
      <c r="A9" s="44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5"/>
      <c r="T9" s="45"/>
      <c r="U9" s="45"/>
      <c r="V9" s="47"/>
      <c r="W9" s="45"/>
      <c r="X9" s="45"/>
      <c r="Y9" s="45"/>
      <c r="Z9" s="45"/>
      <c r="AA9" s="45"/>
      <c r="AB9" s="45"/>
      <c r="AC9" s="44"/>
      <c r="AD9" s="45"/>
      <c r="AE9" s="47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</row>
    <row r="10" spans="1:52" s="36" customFormat="1" ht="14.25" customHeight="1">
      <c r="A10" s="809" t="s">
        <v>92</v>
      </c>
      <c r="B10" s="810"/>
      <c r="C10" s="810"/>
      <c r="D10" s="810"/>
      <c r="E10" s="811"/>
      <c r="F10" s="812" t="s">
        <v>93</v>
      </c>
      <c r="G10" s="813"/>
      <c r="H10" s="813"/>
      <c r="I10" s="813"/>
      <c r="J10" s="813"/>
      <c r="K10" s="813"/>
      <c r="L10" s="813"/>
      <c r="M10" s="813"/>
      <c r="N10" s="813"/>
      <c r="O10" s="813"/>
      <c r="P10" s="813"/>
      <c r="Q10" s="813"/>
      <c r="R10" s="813"/>
      <c r="S10" s="813"/>
      <c r="T10" s="813"/>
      <c r="U10" s="813"/>
      <c r="V10" s="813"/>
      <c r="W10" s="813"/>
      <c r="X10" s="813"/>
      <c r="Y10" s="813"/>
      <c r="Z10" s="813"/>
      <c r="AA10" s="813"/>
      <c r="AB10" s="813"/>
      <c r="AC10" s="813"/>
      <c r="AD10" s="813"/>
      <c r="AE10" s="814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</row>
    <row r="11" spans="1:52" s="36" customFormat="1" ht="14.25" customHeight="1">
      <c r="A11" s="830" t="str">
        <f>目次!A4</f>
        <v>MAET86S1</v>
      </c>
      <c r="B11" s="831"/>
      <c r="C11" s="831"/>
      <c r="D11" s="831"/>
      <c r="E11" s="832"/>
      <c r="F11" s="836" t="str">
        <f>目次!F4</f>
        <v>ＡＣＰ同一人識別番号付加処理</v>
      </c>
      <c r="G11" s="837"/>
      <c r="H11" s="837"/>
      <c r="I11" s="837"/>
      <c r="J11" s="837"/>
      <c r="K11" s="837"/>
      <c r="L11" s="837"/>
      <c r="M11" s="837"/>
      <c r="N11" s="837"/>
      <c r="O11" s="837"/>
      <c r="P11" s="837"/>
      <c r="Q11" s="837"/>
      <c r="R11" s="837"/>
      <c r="S11" s="837"/>
      <c r="T11" s="837"/>
      <c r="U11" s="837"/>
      <c r="V11" s="837"/>
      <c r="W11" s="837"/>
      <c r="X11" s="837"/>
      <c r="Y11" s="837"/>
      <c r="Z11" s="837"/>
      <c r="AA11" s="837"/>
      <c r="AB11" s="837"/>
      <c r="AC11" s="837"/>
      <c r="AD11" s="837"/>
      <c r="AE11" s="83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</row>
    <row r="12" spans="1:52" s="36" customFormat="1" ht="14.25" customHeight="1">
      <c r="A12" s="833"/>
      <c r="B12" s="834"/>
      <c r="C12" s="834"/>
      <c r="D12" s="834"/>
      <c r="E12" s="835"/>
      <c r="F12" s="839"/>
      <c r="G12" s="840"/>
      <c r="H12" s="840"/>
      <c r="I12" s="840"/>
      <c r="J12" s="840"/>
      <c r="K12" s="840"/>
      <c r="L12" s="840"/>
      <c r="M12" s="840"/>
      <c r="N12" s="840"/>
      <c r="O12" s="840"/>
      <c r="P12" s="840"/>
      <c r="Q12" s="840"/>
      <c r="R12" s="840"/>
      <c r="S12" s="840"/>
      <c r="T12" s="840"/>
      <c r="U12" s="840"/>
      <c r="V12" s="840"/>
      <c r="W12" s="840"/>
      <c r="X12" s="840"/>
      <c r="Y12" s="840"/>
      <c r="Z12" s="840"/>
      <c r="AA12" s="840"/>
      <c r="AB12" s="840"/>
      <c r="AC12" s="840"/>
      <c r="AD12" s="840"/>
      <c r="AE12" s="841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50"/>
      <c r="AV12" s="50"/>
      <c r="AW12" s="50"/>
      <c r="AX12" s="50"/>
      <c r="AY12" s="50"/>
      <c r="AZ12" s="50"/>
    </row>
    <row r="13" spans="1:52" s="36" customFormat="1"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51"/>
      <c r="AF13" s="49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0"/>
      <c r="AV13" s="50"/>
      <c r="AW13" s="50"/>
      <c r="AX13" s="50"/>
      <c r="AY13" s="50"/>
      <c r="AZ13" s="50"/>
    </row>
    <row r="14" spans="1:52" s="36" customFormat="1" ht="14.25" customHeight="1">
      <c r="A14" s="52"/>
      <c r="B14" s="53"/>
      <c r="C14" s="54"/>
      <c r="D14" s="806" t="s">
        <v>32</v>
      </c>
      <c r="E14" s="807"/>
      <c r="F14" s="807"/>
      <c r="G14" s="807"/>
      <c r="H14" s="807"/>
      <c r="I14" s="807"/>
      <c r="J14" s="807"/>
      <c r="K14" s="807"/>
      <c r="L14" s="807"/>
      <c r="M14" s="808"/>
      <c r="N14" s="806" t="s">
        <v>33</v>
      </c>
      <c r="O14" s="807"/>
      <c r="P14" s="807"/>
      <c r="Q14" s="807"/>
      <c r="R14" s="807"/>
      <c r="S14" s="807"/>
      <c r="T14" s="808"/>
      <c r="U14" s="806" t="s">
        <v>34</v>
      </c>
      <c r="V14" s="807"/>
      <c r="W14" s="807"/>
      <c r="X14" s="807"/>
      <c r="Y14" s="807"/>
      <c r="Z14" s="807"/>
      <c r="AA14" s="808"/>
      <c r="AB14" s="806" t="s">
        <v>35</v>
      </c>
      <c r="AC14" s="807"/>
      <c r="AD14" s="807"/>
      <c r="AE14" s="807"/>
      <c r="AF14" s="807"/>
      <c r="AG14" s="807"/>
      <c r="AH14" s="807"/>
      <c r="AI14" s="807"/>
      <c r="AJ14" s="807"/>
      <c r="AK14" s="807"/>
      <c r="AL14" s="807"/>
      <c r="AM14" s="807"/>
      <c r="AN14" s="807"/>
      <c r="AO14" s="807"/>
      <c r="AP14" s="807"/>
      <c r="AQ14" s="807"/>
      <c r="AR14" s="807"/>
      <c r="AS14" s="807"/>
      <c r="AT14" s="807"/>
      <c r="AU14" s="807"/>
      <c r="AV14" s="807"/>
      <c r="AW14" s="807"/>
      <c r="AX14" s="807"/>
      <c r="AY14" s="807"/>
      <c r="AZ14" s="808"/>
    </row>
    <row r="15" spans="1:52" s="36" customFormat="1" ht="12" customHeight="1">
      <c r="A15" s="830" t="s">
        <v>36</v>
      </c>
      <c r="B15" s="831"/>
      <c r="C15" s="832"/>
      <c r="D15" s="815" t="s">
        <v>81</v>
      </c>
      <c r="E15" s="816"/>
      <c r="F15" s="816"/>
      <c r="G15" s="816"/>
      <c r="H15" s="816"/>
      <c r="I15" s="816"/>
      <c r="J15" s="816"/>
      <c r="K15" s="816"/>
      <c r="L15" s="816"/>
      <c r="M15" s="817"/>
      <c r="N15" s="821" t="s">
        <v>174</v>
      </c>
      <c r="O15" s="822"/>
      <c r="P15" s="822"/>
      <c r="Q15" s="822"/>
      <c r="R15" s="822"/>
      <c r="S15" s="822"/>
      <c r="T15" s="823"/>
      <c r="U15" s="821" t="s">
        <v>267</v>
      </c>
      <c r="V15" s="822"/>
      <c r="W15" s="822"/>
      <c r="X15" s="822"/>
      <c r="Y15" s="822"/>
      <c r="Z15" s="822"/>
      <c r="AA15" s="823"/>
      <c r="AB15" s="843" t="s">
        <v>144</v>
      </c>
      <c r="AC15" s="844"/>
      <c r="AD15" s="844"/>
      <c r="AE15" s="844"/>
      <c r="AF15" s="844"/>
      <c r="AG15" s="844"/>
      <c r="AH15" s="844"/>
      <c r="AI15" s="844"/>
      <c r="AJ15" s="844"/>
      <c r="AK15" s="844"/>
      <c r="AL15" s="844"/>
      <c r="AM15" s="844"/>
      <c r="AN15" s="844"/>
      <c r="AO15" s="844"/>
      <c r="AP15" s="844"/>
      <c r="AQ15" s="844"/>
      <c r="AR15" s="844"/>
      <c r="AS15" s="844"/>
      <c r="AT15" s="844"/>
      <c r="AU15" s="844"/>
      <c r="AV15" s="844"/>
      <c r="AW15" s="844"/>
      <c r="AX15" s="844"/>
      <c r="AY15" s="844"/>
      <c r="AZ15" s="845"/>
    </row>
    <row r="16" spans="1:52" s="36" customFormat="1" ht="12" customHeight="1">
      <c r="A16" s="833"/>
      <c r="B16" s="834"/>
      <c r="C16" s="835"/>
      <c r="D16" s="818"/>
      <c r="E16" s="819"/>
      <c r="F16" s="819"/>
      <c r="G16" s="819"/>
      <c r="H16" s="819"/>
      <c r="I16" s="819"/>
      <c r="J16" s="819"/>
      <c r="K16" s="819"/>
      <c r="L16" s="819"/>
      <c r="M16" s="820"/>
      <c r="N16" s="824"/>
      <c r="O16" s="825"/>
      <c r="P16" s="825"/>
      <c r="Q16" s="825"/>
      <c r="R16" s="825"/>
      <c r="S16" s="825"/>
      <c r="T16" s="826"/>
      <c r="U16" s="827"/>
      <c r="V16" s="828"/>
      <c r="W16" s="828"/>
      <c r="X16" s="828"/>
      <c r="Y16" s="828"/>
      <c r="Z16" s="828"/>
      <c r="AA16" s="829"/>
      <c r="AB16" s="846"/>
      <c r="AC16" s="847"/>
      <c r="AD16" s="847"/>
      <c r="AE16" s="847"/>
      <c r="AF16" s="847"/>
      <c r="AG16" s="847"/>
      <c r="AH16" s="847"/>
      <c r="AI16" s="847"/>
      <c r="AJ16" s="847"/>
      <c r="AK16" s="847"/>
      <c r="AL16" s="847"/>
      <c r="AM16" s="847"/>
      <c r="AN16" s="847"/>
      <c r="AO16" s="847"/>
      <c r="AP16" s="847"/>
      <c r="AQ16" s="847"/>
      <c r="AR16" s="847"/>
      <c r="AS16" s="847"/>
      <c r="AT16" s="847"/>
      <c r="AU16" s="847"/>
      <c r="AV16" s="847"/>
      <c r="AW16" s="847"/>
      <c r="AX16" s="847"/>
      <c r="AY16" s="847"/>
      <c r="AZ16" s="848"/>
    </row>
    <row r="17" spans="1:52" s="36" customFormat="1" ht="12" customHeight="1">
      <c r="A17" s="830" t="s">
        <v>37</v>
      </c>
      <c r="B17" s="831"/>
      <c r="C17" s="832"/>
      <c r="D17" s="815" t="s">
        <v>142</v>
      </c>
      <c r="E17" s="816"/>
      <c r="F17" s="816"/>
      <c r="G17" s="816"/>
      <c r="H17" s="816"/>
      <c r="I17" s="816"/>
      <c r="J17" s="816"/>
      <c r="K17" s="816"/>
      <c r="L17" s="816"/>
      <c r="M17" s="817"/>
      <c r="N17" s="815" t="s">
        <v>242</v>
      </c>
      <c r="O17" s="816"/>
      <c r="P17" s="816"/>
      <c r="Q17" s="816"/>
      <c r="R17" s="816"/>
      <c r="S17" s="816"/>
      <c r="T17" s="817"/>
      <c r="U17" s="827"/>
      <c r="V17" s="828"/>
      <c r="W17" s="828"/>
      <c r="X17" s="828"/>
      <c r="Y17" s="828"/>
      <c r="Z17" s="828"/>
      <c r="AA17" s="829"/>
      <c r="AB17" s="846"/>
      <c r="AC17" s="847"/>
      <c r="AD17" s="847"/>
      <c r="AE17" s="847"/>
      <c r="AF17" s="847"/>
      <c r="AG17" s="847"/>
      <c r="AH17" s="847"/>
      <c r="AI17" s="847"/>
      <c r="AJ17" s="847"/>
      <c r="AK17" s="847"/>
      <c r="AL17" s="847"/>
      <c r="AM17" s="847"/>
      <c r="AN17" s="847"/>
      <c r="AO17" s="847"/>
      <c r="AP17" s="847"/>
      <c r="AQ17" s="847"/>
      <c r="AR17" s="847"/>
      <c r="AS17" s="847"/>
      <c r="AT17" s="847"/>
      <c r="AU17" s="847"/>
      <c r="AV17" s="847"/>
      <c r="AW17" s="847"/>
      <c r="AX17" s="847"/>
      <c r="AY17" s="847"/>
      <c r="AZ17" s="848"/>
    </row>
    <row r="18" spans="1:52" s="36" customFormat="1" ht="12" customHeight="1">
      <c r="A18" s="833"/>
      <c r="B18" s="834"/>
      <c r="C18" s="835"/>
      <c r="D18" s="818"/>
      <c r="E18" s="819"/>
      <c r="F18" s="819"/>
      <c r="G18" s="819"/>
      <c r="H18" s="819"/>
      <c r="I18" s="819"/>
      <c r="J18" s="819"/>
      <c r="K18" s="819"/>
      <c r="L18" s="819"/>
      <c r="M18" s="820"/>
      <c r="N18" s="818"/>
      <c r="O18" s="819"/>
      <c r="P18" s="819"/>
      <c r="Q18" s="819"/>
      <c r="R18" s="819"/>
      <c r="S18" s="819"/>
      <c r="T18" s="820"/>
      <c r="U18" s="824"/>
      <c r="V18" s="825"/>
      <c r="W18" s="825"/>
      <c r="X18" s="825"/>
      <c r="Y18" s="825"/>
      <c r="Z18" s="825"/>
      <c r="AA18" s="826"/>
      <c r="AB18" s="849"/>
      <c r="AC18" s="850"/>
      <c r="AD18" s="850"/>
      <c r="AE18" s="850"/>
      <c r="AF18" s="850"/>
      <c r="AG18" s="850"/>
      <c r="AH18" s="850"/>
      <c r="AI18" s="850"/>
      <c r="AJ18" s="850"/>
      <c r="AK18" s="850"/>
      <c r="AL18" s="850"/>
      <c r="AM18" s="850"/>
      <c r="AN18" s="850"/>
      <c r="AO18" s="850"/>
      <c r="AP18" s="850"/>
      <c r="AQ18" s="850"/>
      <c r="AR18" s="850"/>
      <c r="AS18" s="850"/>
      <c r="AT18" s="850"/>
      <c r="AU18" s="850"/>
      <c r="AV18" s="850"/>
      <c r="AW18" s="850"/>
      <c r="AX18" s="850"/>
      <c r="AY18" s="850"/>
      <c r="AZ18" s="851"/>
    </row>
    <row r="19" spans="1:52" s="36" customFormat="1">
      <c r="A19" s="2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51"/>
      <c r="AD19" s="51"/>
      <c r="AE19" s="51"/>
      <c r="AF19" s="49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0"/>
      <c r="AV19" s="50"/>
      <c r="AW19" s="50"/>
      <c r="AX19" s="50"/>
      <c r="AY19" s="50"/>
      <c r="AZ19" s="50"/>
    </row>
    <row r="20" spans="1:52" s="36" customFormat="1" ht="14.25" customHeight="1">
      <c r="A20" s="809" t="s">
        <v>38</v>
      </c>
      <c r="B20" s="810"/>
      <c r="C20" s="811"/>
      <c r="D20" s="806" t="s">
        <v>39</v>
      </c>
      <c r="E20" s="807"/>
      <c r="F20" s="807"/>
      <c r="G20" s="807"/>
      <c r="H20" s="807"/>
      <c r="I20" s="807"/>
      <c r="J20" s="807"/>
      <c r="K20" s="807"/>
      <c r="L20" s="807"/>
      <c r="M20" s="807"/>
      <c r="N20" s="807"/>
      <c r="O20" s="807"/>
      <c r="P20" s="807"/>
      <c r="Q20" s="807"/>
      <c r="R20" s="807"/>
      <c r="S20" s="807"/>
      <c r="T20" s="807"/>
      <c r="U20" s="807"/>
      <c r="V20" s="808"/>
      <c r="W20" s="806" t="s">
        <v>40</v>
      </c>
      <c r="X20" s="842"/>
      <c r="Y20" s="842"/>
      <c r="Z20" s="842"/>
      <c r="AA20" s="842"/>
      <c r="AB20" s="842"/>
      <c r="AC20" s="842"/>
      <c r="AD20" s="842"/>
      <c r="AE20" s="842"/>
      <c r="AF20" s="842"/>
      <c r="AG20" s="842"/>
      <c r="AH20" s="842"/>
      <c r="AI20" s="842"/>
      <c r="AJ20" s="842"/>
      <c r="AK20" s="842"/>
      <c r="AL20" s="842"/>
      <c r="AM20" s="842"/>
      <c r="AN20" s="842"/>
      <c r="AO20" s="842"/>
      <c r="AP20" s="842"/>
      <c r="AQ20" s="794"/>
      <c r="AR20" s="806" t="s">
        <v>41</v>
      </c>
      <c r="AS20" s="807"/>
      <c r="AT20" s="807"/>
      <c r="AU20" s="807"/>
      <c r="AV20" s="807"/>
      <c r="AW20" s="807"/>
      <c r="AX20" s="807"/>
      <c r="AY20" s="807"/>
      <c r="AZ20" s="808"/>
    </row>
    <row r="21" spans="1:52" s="36" customFormat="1" ht="30.75" customHeight="1">
      <c r="A21" s="798"/>
      <c r="B21" s="799"/>
      <c r="C21" s="800"/>
      <c r="D21" s="802"/>
      <c r="E21" s="801"/>
      <c r="F21" s="801"/>
      <c r="G21" s="801"/>
      <c r="H21" s="801"/>
      <c r="I21" s="801"/>
      <c r="J21" s="801"/>
      <c r="K21" s="801"/>
      <c r="L21" s="801"/>
      <c r="M21" s="801"/>
      <c r="N21" s="801"/>
      <c r="O21" s="801"/>
      <c r="P21" s="801"/>
      <c r="Q21" s="801"/>
      <c r="R21" s="801"/>
      <c r="S21" s="801"/>
      <c r="T21" s="801"/>
      <c r="U21" s="801"/>
      <c r="V21" s="801"/>
      <c r="W21" s="803"/>
      <c r="X21" s="804"/>
      <c r="Y21" s="804"/>
      <c r="Z21" s="804"/>
      <c r="AA21" s="804"/>
      <c r="AB21" s="804"/>
      <c r="AC21" s="804"/>
      <c r="AD21" s="804"/>
      <c r="AE21" s="804"/>
      <c r="AF21" s="804"/>
      <c r="AG21" s="804"/>
      <c r="AH21" s="804"/>
      <c r="AI21" s="804"/>
      <c r="AJ21" s="804"/>
      <c r="AK21" s="804"/>
      <c r="AL21" s="804"/>
      <c r="AM21" s="804"/>
      <c r="AN21" s="804"/>
      <c r="AO21" s="804"/>
      <c r="AP21" s="804"/>
      <c r="AQ21" s="805"/>
      <c r="AR21" s="793" t="s">
        <v>76</v>
      </c>
      <c r="AS21" s="794"/>
      <c r="AT21" s="208" t="s">
        <v>77</v>
      </c>
      <c r="AU21" s="793" t="s">
        <v>78</v>
      </c>
      <c r="AV21" s="794"/>
      <c r="AW21" s="55" t="s">
        <v>77</v>
      </c>
      <c r="AX21" s="793" t="s">
        <v>79</v>
      </c>
      <c r="AY21" s="794"/>
      <c r="AZ21" s="55" t="s">
        <v>77</v>
      </c>
    </row>
    <row r="22" spans="1:52" s="36" customFormat="1" ht="30.75" customHeight="1">
      <c r="A22" s="798"/>
      <c r="B22" s="799"/>
      <c r="C22" s="800"/>
      <c r="D22" s="802"/>
      <c r="E22" s="801"/>
      <c r="F22" s="801"/>
      <c r="G22" s="801"/>
      <c r="H22" s="801"/>
      <c r="I22" s="801"/>
      <c r="J22" s="801"/>
      <c r="K22" s="801"/>
      <c r="L22" s="801"/>
      <c r="M22" s="801"/>
      <c r="N22" s="801"/>
      <c r="O22" s="801"/>
      <c r="P22" s="801"/>
      <c r="Q22" s="801"/>
      <c r="R22" s="801"/>
      <c r="S22" s="801"/>
      <c r="T22" s="801"/>
      <c r="U22" s="801"/>
      <c r="V22" s="801"/>
      <c r="W22" s="803"/>
      <c r="X22" s="804"/>
      <c r="Y22" s="804"/>
      <c r="Z22" s="804"/>
      <c r="AA22" s="804"/>
      <c r="AB22" s="804"/>
      <c r="AC22" s="804"/>
      <c r="AD22" s="804"/>
      <c r="AE22" s="804"/>
      <c r="AF22" s="804"/>
      <c r="AG22" s="804"/>
      <c r="AH22" s="804"/>
      <c r="AI22" s="804"/>
      <c r="AJ22" s="804"/>
      <c r="AK22" s="804"/>
      <c r="AL22" s="804"/>
      <c r="AM22" s="804"/>
      <c r="AN22" s="804"/>
      <c r="AO22" s="804"/>
      <c r="AP22" s="804"/>
      <c r="AQ22" s="805"/>
      <c r="AR22" s="793" t="s">
        <v>76</v>
      </c>
      <c r="AS22" s="794"/>
      <c r="AT22" s="208" t="s">
        <v>77</v>
      </c>
      <c r="AU22" s="793" t="s">
        <v>78</v>
      </c>
      <c r="AV22" s="794"/>
      <c r="AW22" s="55" t="s">
        <v>77</v>
      </c>
      <c r="AX22" s="793" t="s">
        <v>79</v>
      </c>
      <c r="AY22" s="794"/>
      <c r="AZ22" s="55" t="s">
        <v>77</v>
      </c>
    </row>
    <row r="23" spans="1:52" s="36" customFormat="1" ht="30.75" customHeight="1">
      <c r="A23" s="798"/>
      <c r="B23" s="799"/>
      <c r="C23" s="800"/>
      <c r="D23" s="802"/>
      <c r="E23" s="801"/>
      <c r="F23" s="801"/>
      <c r="G23" s="801"/>
      <c r="H23" s="801"/>
      <c r="I23" s="801"/>
      <c r="J23" s="801"/>
      <c r="K23" s="801"/>
      <c r="L23" s="801"/>
      <c r="M23" s="801"/>
      <c r="N23" s="801"/>
      <c r="O23" s="801"/>
      <c r="P23" s="801"/>
      <c r="Q23" s="801"/>
      <c r="R23" s="801"/>
      <c r="S23" s="801"/>
      <c r="T23" s="801"/>
      <c r="U23" s="801"/>
      <c r="V23" s="801"/>
      <c r="W23" s="803"/>
      <c r="X23" s="804"/>
      <c r="Y23" s="804"/>
      <c r="Z23" s="804"/>
      <c r="AA23" s="804"/>
      <c r="AB23" s="804"/>
      <c r="AC23" s="804"/>
      <c r="AD23" s="804"/>
      <c r="AE23" s="804"/>
      <c r="AF23" s="804"/>
      <c r="AG23" s="804"/>
      <c r="AH23" s="804"/>
      <c r="AI23" s="804"/>
      <c r="AJ23" s="804"/>
      <c r="AK23" s="804"/>
      <c r="AL23" s="804"/>
      <c r="AM23" s="804"/>
      <c r="AN23" s="804"/>
      <c r="AO23" s="804"/>
      <c r="AP23" s="804"/>
      <c r="AQ23" s="805"/>
      <c r="AR23" s="793" t="s">
        <v>76</v>
      </c>
      <c r="AS23" s="794"/>
      <c r="AT23" s="208" t="s">
        <v>77</v>
      </c>
      <c r="AU23" s="793" t="s">
        <v>78</v>
      </c>
      <c r="AV23" s="794"/>
      <c r="AW23" s="55" t="s">
        <v>77</v>
      </c>
      <c r="AX23" s="793" t="s">
        <v>79</v>
      </c>
      <c r="AY23" s="794"/>
      <c r="AZ23" s="55" t="s">
        <v>77</v>
      </c>
    </row>
    <row r="24" spans="1:52" s="36" customFormat="1" ht="20.100000000000001" customHeight="1">
      <c r="A24" s="798"/>
      <c r="B24" s="799"/>
      <c r="C24" s="800"/>
      <c r="D24" s="801"/>
      <c r="E24" s="801"/>
      <c r="F24" s="801"/>
      <c r="G24" s="801"/>
      <c r="H24" s="801"/>
      <c r="I24" s="801"/>
      <c r="J24" s="801"/>
      <c r="K24" s="801"/>
      <c r="L24" s="801"/>
      <c r="M24" s="801"/>
      <c r="N24" s="801"/>
      <c r="O24" s="801"/>
      <c r="P24" s="801"/>
      <c r="Q24" s="801"/>
      <c r="R24" s="801"/>
      <c r="S24" s="801"/>
      <c r="T24" s="801"/>
      <c r="U24" s="801"/>
      <c r="V24" s="801"/>
      <c r="W24" s="795"/>
      <c r="X24" s="796"/>
      <c r="Y24" s="796"/>
      <c r="Z24" s="796"/>
      <c r="AA24" s="796"/>
      <c r="AB24" s="796"/>
      <c r="AC24" s="796"/>
      <c r="AD24" s="796"/>
      <c r="AE24" s="796"/>
      <c r="AF24" s="796"/>
      <c r="AG24" s="796"/>
      <c r="AH24" s="796"/>
      <c r="AI24" s="796"/>
      <c r="AJ24" s="796"/>
      <c r="AK24" s="796"/>
      <c r="AL24" s="796"/>
      <c r="AM24" s="796"/>
      <c r="AN24" s="796"/>
      <c r="AO24" s="796"/>
      <c r="AP24" s="796"/>
      <c r="AQ24" s="797"/>
      <c r="AR24" s="793" t="s">
        <v>76</v>
      </c>
      <c r="AS24" s="794"/>
      <c r="AT24" s="55" t="s">
        <v>77</v>
      </c>
      <c r="AU24" s="793" t="s">
        <v>78</v>
      </c>
      <c r="AV24" s="794"/>
      <c r="AW24" s="55" t="s">
        <v>77</v>
      </c>
      <c r="AX24" s="793" t="s">
        <v>79</v>
      </c>
      <c r="AY24" s="794"/>
      <c r="AZ24" s="55" t="s">
        <v>77</v>
      </c>
    </row>
    <row r="25" spans="1:52" s="36" customFormat="1" ht="20.100000000000001" customHeight="1">
      <c r="A25" s="798"/>
      <c r="B25" s="799"/>
      <c r="C25" s="800"/>
      <c r="D25" s="801"/>
      <c r="E25" s="801"/>
      <c r="F25" s="801"/>
      <c r="G25" s="801"/>
      <c r="H25" s="801"/>
      <c r="I25" s="801"/>
      <c r="J25" s="801"/>
      <c r="K25" s="801"/>
      <c r="L25" s="801"/>
      <c r="M25" s="801"/>
      <c r="N25" s="801"/>
      <c r="O25" s="801"/>
      <c r="P25" s="801"/>
      <c r="Q25" s="801"/>
      <c r="R25" s="801"/>
      <c r="S25" s="801"/>
      <c r="T25" s="801"/>
      <c r="U25" s="801"/>
      <c r="V25" s="801"/>
      <c r="W25" s="795"/>
      <c r="X25" s="796"/>
      <c r="Y25" s="796"/>
      <c r="Z25" s="796"/>
      <c r="AA25" s="796"/>
      <c r="AB25" s="796"/>
      <c r="AC25" s="796"/>
      <c r="AD25" s="796"/>
      <c r="AE25" s="796"/>
      <c r="AF25" s="796"/>
      <c r="AG25" s="796"/>
      <c r="AH25" s="796"/>
      <c r="AI25" s="796"/>
      <c r="AJ25" s="796"/>
      <c r="AK25" s="796"/>
      <c r="AL25" s="796"/>
      <c r="AM25" s="796"/>
      <c r="AN25" s="796"/>
      <c r="AO25" s="796"/>
      <c r="AP25" s="796"/>
      <c r="AQ25" s="797"/>
      <c r="AR25" s="793" t="s">
        <v>76</v>
      </c>
      <c r="AS25" s="794"/>
      <c r="AT25" s="55" t="s">
        <v>77</v>
      </c>
      <c r="AU25" s="793" t="s">
        <v>78</v>
      </c>
      <c r="AV25" s="794"/>
      <c r="AW25" s="55" t="s">
        <v>77</v>
      </c>
      <c r="AX25" s="793" t="s">
        <v>79</v>
      </c>
      <c r="AY25" s="794"/>
      <c r="AZ25" s="55" t="s">
        <v>77</v>
      </c>
    </row>
    <row r="26" spans="1:52" s="36" customFormat="1" ht="20.100000000000001" customHeight="1">
      <c r="A26" s="798"/>
      <c r="B26" s="799"/>
      <c r="C26" s="800"/>
      <c r="D26" s="801"/>
      <c r="E26" s="801"/>
      <c r="F26" s="801"/>
      <c r="G26" s="801"/>
      <c r="H26" s="801"/>
      <c r="I26" s="801"/>
      <c r="J26" s="801"/>
      <c r="K26" s="801"/>
      <c r="L26" s="801"/>
      <c r="M26" s="801"/>
      <c r="N26" s="801"/>
      <c r="O26" s="801"/>
      <c r="P26" s="801"/>
      <c r="Q26" s="801"/>
      <c r="R26" s="801"/>
      <c r="S26" s="801"/>
      <c r="T26" s="801"/>
      <c r="U26" s="801"/>
      <c r="V26" s="801"/>
      <c r="W26" s="795"/>
      <c r="X26" s="796"/>
      <c r="Y26" s="796"/>
      <c r="Z26" s="796"/>
      <c r="AA26" s="796"/>
      <c r="AB26" s="796"/>
      <c r="AC26" s="796"/>
      <c r="AD26" s="796"/>
      <c r="AE26" s="796"/>
      <c r="AF26" s="796"/>
      <c r="AG26" s="796"/>
      <c r="AH26" s="796"/>
      <c r="AI26" s="796"/>
      <c r="AJ26" s="796"/>
      <c r="AK26" s="796"/>
      <c r="AL26" s="796"/>
      <c r="AM26" s="796"/>
      <c r="AN26" s="796"/>
      <c r="AO26" s="796"/>
      <c r="AP26" s="796"/>
      <c r="AQ26" s="797"/>
      <c r="AR26" s="793" t="s">
        <v>76</v>
      </c>
      <c r="AS26" s="794"/>
      <c r="AT26" s="55" t="s">
        <v>77</v>
      </c>
      <c r="AU26" s="793" t="s">
        <v>78</v>
      </c>
      <c r="AV26" s="794"/>
      <c r="AW26" s="55" t="s">
        <v>77</v>
      </c>
      <c r="AX26" s="793" t="s">
        <v>79</v>
      </c>
      <c r="AY26" s="794"/>
      <c r="AZ26" s="55" t="s">
        <v>77</v>
      </c>
    </row>
  </sheetData>
  <customSheetViews>
    <customSheetView guid="{A6ABB528-5CA4-4D4C-8A92-065340906B37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ゴシック,標準"&amp;8&amp;P-2&amp;R&amp;"ＭＳ ゴシック,標準"&amp;6&amp;F/&amp;A</oddFooter>
      </headerFooter>
    </customSheetView>
    <customSheetView guid="{8E288406-DA20-4489-A100-6BF008027C94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ゴシック,標準"&amp;8&amp;P-2&amp;R&amp;"ＭＳ ゴシック,標準"&amp;6&amp;F/&amp;A</oddFooter>
      </headerFooter>
    </customSheetView>
  </customSheetViews>
  <mergeCells count="74">
    <mergeCell ref="C1:P2"/>
    <mergeCell ref="Q1:R1"/>
    <mergeCell ref="S1:X1"/>
    <mergeCell ref="Y1:AE1"/>
    <mergeCell ref="Q2:R2"/>
    <mergeCell ref="S2:X2"/>
    <mergeCell ref="Y2:AC2"/>
    <mergeCell ref="AD2:AE2"/>
    <mergeCell ref="AW1:AZ1"/>
    <mergeCell ref="AF2:AK2"/>
    <mergeCell ref="AL2:AP2"/>
    <mergeCell ref="AQ2:AR2"/>
    <mergeCell ref="AS2:AV2"/>
    <mergeCell ref="AW2:AZ2"/>
    <mergeCell ref="AF1:AK1"/>
    <mergeCell ref="AL1:AP1"/>
    <mergeCell ref="AQ1:AR1"/>
    <mergeCell ref="AS1:AV1"/>
    <mergeCell ref="A10:E10"/>
    <mergeCell ref="D20:V20"/>
    <mergeCell ref="F10:AE10"/>
    <mergeCell ref="D17:M18"/>
    <mergeCell ref="N15:T16"/>
    <mergeCell ref="U15:AA18"/>
    <mergeCell ref="A11:E12"/>
    <mergeCell ref="F11:AE12"/>
    <mergeCell ref="A15:C16"/>
    <mergeCell ref="A17:C18"/>
    <mergeCell ref="A20:C20"/>
    <mergeCell ref="W20:AQ20"/>
    <mergeCell ref="AB15:AZ18"/>
    <mergeCell ref="AR20:AZ20"/>
    <mergeCell ref="N17:T18"/>
    <mergeCell ref="D15:M16"/>
    <mergeCell ref="AX22:AY22"/>
    <mergeCell ref="AU22:AV22"/>
    <mergeCell ref="AU21:AV21"/>
    <mergeCell ref="AX21:AY21"/>
    <mergeCell ref="AR21:AS21"/>
    <mergeCell ref="N14:T14"/>
    <mergeCell ref="W24:AQ24"/>
    <mergeCell ref="U14:AA14"/>
    <mergeCell ref="AB14:AZ14"/>
    <mergeCell ref="AU24:AV24"/>
    <mergeCell ref="AX23:AY23"/>
    <mergeCell ref="AU23:AV23"/>
    <mergeCell ref="AR23:AS23"/>
    <mergeCell ref="AR24:AS24"/>
    <mergeCell ref="AX24:AY24"/>
    <mergeCell ref="D23:V23"/>
    <mergeCell ref="W23:AQ23"/>
    <mergeCell ref="D14:M14"/>
    <mergeCell ref="D22:V22"/>
    <mergeCell ref="W22:AQ22"/>
    <mergeCell ref="AR22:AS22"/>
    <mergeCell ref="A24:C24"/>
    <mergeCell ref="D24:V24"/>
    <mergeCell ref="A21:C21"/>
    <mergeCell ref="D21:V21"/>
    <mergeCell ref="W21:AQ21"/>
    <mergeCell ref="A23:C23"/>
    <mergeCell ref="A22:C22"/>
    <mergeCell ref="AU26:AV26"/>
    <mergeCell ref="W26:AQ26"/>
    <mergeCell ref="AX26:AY26"/>
    <mergeCell ref="A25:C25"/>
    <mergeCell ref="AX25:AY25"/>
    <mergeCell ref="D25:V25"/>
    <mergeCell ref="AR25:AS25"/>
    <mergeCell ref="AU25:AV25"/>
    <mergeCell ref="W25:AQ25"/>
    <mergeCell ref="A26:C26"/>
    <mergeCell ref="D26:V26"/>
    <mergeCell ref="AR26:AS26"/>
  </mergeCells>
  <phoneticPr fontId="2"/>
  <pageMargins left="0.59055118110236227" right="0.59055118110236227" top="0.78740157480314965" bottom="0.59055118110236227" header="0.51181102362204722" footer="0.31496062992125984"/>
  <pageSetup paperSize="9" fitToHeight="3" orientation="landscape" verticalDpi="360" r:id="rId3"/>
  <headerFooter alignWithMargins="0">
    <oddFooter>&amp;C&amp;"ＭＳ ゴシック,標準"&amp;8&amp;P-2&amp;R&amp;"ＭＳ ゴシック,標準"&amp;6&amp;F/&amp;A</oddFooter>
  </headerFooter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1"/>
  <sheetViews>
    <sheetView showGridLines="0" view="pageBreakPreview" zoomScaleNormal="85" zoomScaleSheetLayoutView="100" workbookViewId="0"/>
  </sheetViews>
  <sheetFormatPr defaultRowHeight="13.5"/>
  <cols>
    <col min="1" max="16384" width="9" style="120"/>
  </cols>
  <sheetData/>
  <customSheetViews>
    <customSheetView guid="{A6ABB528-5CA4-4D4C-8A92-065340906B37}" scale="85" showPageBreaks="1" view="pageBreakPreview" showRuler="0">
      <pageMargins left="0.75" right="0.75" top="1" bottom="1" header="0.51200000000000001" footer="0.51200000000000001"/>
      <pageSetup paperSize="9" orientation="landscape" r:id="rId1"/>
      <headerFooter alignWithMargins="0">
        <oddFooter>&amp;R&amp;"ＭＳ ゴシック,標準"&amp;6&amp;F/&amp;A</oddFooter>
      </headerFooter>
    </customSheetView>
    <customSheetView guid="{8E288406-DA20-4489-A100-6BF008027C94}" scale="85" showPageBreaks="1" view="pageBreakPreview" showRuler="0">
      <pageMargins left="0.75" right="0.75" top="1" bottom="1" header="0.51200000000000001" footer="0.51200000000000001"/>
      <pageSetup paperSize="9" orientation="landscape" r:id="rId2"/>
      <headerFooter alignWithMargins="0">
        <oddFooter>&amp;R&amp;"ＭＳ ゴシック,標準"&amp;6&amp;F/&amp;A</oddFooter>
      </headerFooter>
    </customSheetView>
  </customSheetViews>
  <phoneticPr fontId="2"/>
  <pageMargins left="0.75" right="0.75" top="1" bottom="1" header="0.51200000000000001" footer="0.51200000000000001"/>
  <pageSetup paperSize="9" orientation="landscape" r:id="rId3"/>
  <headerFooter alignWithMargins="0">
    <oddFooter>&amp;R&amp;"ＭＳ ゴシック,標準"&amp;6&amp;F/&amp;A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14</vt:i4>
      </vt:variant>
    </vt:vector>
  </HeadingPairs>
  <TitlesOfParts>
    <vt:vector size="26" baseType="lpstr">
      <vt:lpstr>表紙</vt:lpstr>
      <vt:lpstr>改定履歴</vt:lpstr>
      <vt:lpstr>目次</vt:lpstr>
      <vt:lpstr>改定内容</vt:lpstr>
      <vt:lpstr>ツール画面</vt:lpstr>
      <vt:lpstr>前提</vt:lpstr>
      <vt:lpstr>ＩＴａ１一覧表</vt:lpstr>
      <vt:lpstr>ＩＴａ１詳細表（005）</vt:lpstr>
      <vt:lpstr>入力データ設計・出力結果予想</vt:lpstr>
      <vt:lpstr>ＩＴａ実施チェックリスト</vt:lpstr>
      <vt:lpstr>ＩＴａ1未実施テスト一覧</vt:lpstr>
      <vt:lpstr>裏表紙</vt:lpstr>
      <vt:lpstr>ＩＴａ１一覧表!Print_Area</vt:lpstr>
      <vt:lpstr>'ＩＴａ１詳細表（005）'!Print_Area</vt:lpstr>
      <vt:lpstr>ＩＴａ1未実施テスト一覧!Print_Area</vt:lpstr>
      <vt:lpstr>改定内容!Print_Area</vt:lpstr>
      <vt:lpstr>前提!Print_Area</vt:lpstr>
      <vt:lpstr>入力データ設計・出力結果予想!Print_Area</vt:lpstr>
      <vt:lpstr>表紙!Print_Area</vt:lpstr>
      <vt:lpstr>目次!Print_Area</vt:lpstr>
      <vt:lpstr>ＩＴａ１一覧表!Print_Titles</vt:lpstr>
      <vt:lpstr>'ＩＴａ１詳細表（005）'!Print_Titles</vt:lpstr>
      <vt:lpstr>ＩＴａ1未実施テスト一覧!Print_Titles</vt:lpstr>
      <vt:lpstr>前提!Print_Titles</vt:lpstr>
      <vt:lpstr>入力データ設計・出力結果予想!Print_Titles</vt:lpstr>
      <vt:lpstr>目次!Print_Titles</vt:lpstr>
    </vt:vector>
  </TitlesOfParts>
  <Manager>証券システム統括部</Manager>
  <Company>株式会社大和総研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ITa1仕様書（兼報告書）</dc:title>
  <dc:creator>JNW 李ナ</dc:creator>
  <cp:lastModifiedBy>徐 暁明/DIRリテール基幹システム第一部</cp:lastModifiedBy>
  <cp:lastPrinted>2016-07-08T01:57:20Z</cp:lastPrinted>
  <dcterms:created xsi:type="dcterms:W3CDTF">2001-08-22T01:36:31Z</dcterms:created>
  <dcterms:modified xsi:type="dcterms:W3CDTF">2025-06-25T06:25:18Z</dcterms:modified>
</cp:coreProperties>
</file>